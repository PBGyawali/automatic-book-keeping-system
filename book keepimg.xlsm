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i\Desktop\"/>
    </mc:Choice>
  </mc:AlternateContent>
  <xr:revisionPtr revIDLastSave="0" documentId="8_{D7BA3AE3-D87E-4BB7-8F36-9F88AFD067BC}" xr6:coauthVersionLast="46" xr6:coauthVersionMax="46" xr10:uidLastSave="{00000000-0000-0000-0000-000000000000}"/>
  <bookViews>
    <workbookView xWindow="-120" yWindow="-120" windowWidth="20730" windowHeight="11310" activeTab="2" xr2:uid="{C0F00A38-07F0-4427-A4BD-A3B8750DAE59}"/>
  </bookViews>
  <sheets>
    <sheet name="DASHBOARD" sheetId="1" r:id="rId1"/>
    <sheet name="JOURNAL" sheetId="2" r:id="rId2"/>
    <sheet name="TRIAL BALANCE" sheetId="5" r:id="rId3"/>
    <sheet name="PROFIT AND LOSS" sheetId="3" r:id="rId4"/>
    <sheet name="BALANCE SHEET" sheetId="4" r:id="rId5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4" l="1"/>
  <c r="C4" i="5"/>
  <c r="C4" i="3"/>
  <c r="C4" i="2"/>
  <c r="B22" i="2"/>
  <c r="B23" i="2"/>
  <c r="B24" i="2"/>
  <c r="B25" i="2"/>
  <c r="B21" i="2"/>
  <c r="B20" i="2"/>
  <c r="E58" i="5"/>
  <c r="C10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C11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D15" i="3"/>
  <c r="D16" i="3"/>
  <c r="D17" i="3"/>
  <c r="D18" i="3"/>
  <c r="D19" i="3"/>
  <c r="D20" i="3"/>
  <c r="D21" i="3"/>
  <c r="D22" i="3"/>
  <c r="D23" i="3"/>
  <c r="D24" i="3"/>
  <c r="D25" i="3"/>
  <c r="D26" i="3"/>
  <c r="G70" i="5"/>
  <c r="E70" i="5"/>
  <c r="F70" i="5"/>
  <c r="F68" i="5"/>
  <c r="F69" i="5"/>
  <c r="G33" i="2"/>
  <c r="F33" i="2"/>
  <c r="E52" i="5" l="1"/>
  <c r="E44" i="5"/>
  <c r="E28" i="5"/>
  <c r="E20" i="5"/>
  <c r="E7" i="5"/>
  <c r="F62" i="5"/>
  <c r="F50" i="5"/>
  <c r="F38" i="5"/>
  <c r="F26" i="5"/>
  <c r="E55" i="5"/>
  <c r="E39" i="5"/>
  <c r="E27" i="5"/>
  <c r="E19" i="5"/>
  <c r="F61" i="5"/>
  <c r="F53" i="5"/>
  <c r="F41" i="5"/>
  <c r="F25" i="5"/>
  <c r="E64" i="5"/>
  <c r="E56" i="5"/>
  <c r="E40" i="5"/>
  <c r="E32" i="5"/>
  <c r="E16" i="5"/>
  <c r="E11" i="5"/>
  <c r="F58" i="5"/>
  <c r="G58" i="5" s="1"/>
  <c r="F46" i="5"/>
  <c r="F34" i="5"/>
  <c r="F22" i="5"/>
  <c r="F14" i="5"/>
  <c r="F10" i="5"/>
  <c r="E65" i="5"/>
  <c r="E61" i="5"/>
  <c r="E51" i="5"/>
  <c r="E43" i="5"/>
  <c r="E31" i="5"/>
  <c r="E15" i="5"/>
  <c r="F65" i="5"/>
  <c r="F49" i="5"/>
  <c r="F37" i="5"/>
  <c r="F29" i="5"/>
  <c r="F21" i="5"/>
  <c r="F17" i="5"/>
  <c r="F13" i="5"/>
  <c r="F9" i="5"/>
  <c r="E68" i="5"/>
  <c r="G68" i="5" s="1"/>
  <c r="E60" i="5"/>
  <c r="E12" i="5"/>
  <c r="E54" i="5"/>
  <c r="E50" i="5"/>
  <c r="G50" i="5" s="1"/>
  <c r="G6" i="3" s="1"/>
  <c r="E46" i="5"/>
  <c r="E42" i="5"/>
  <c r="E38" i="5"/>
  <c r="E34" i="5"/>
  <c r="G34" i="5" s="1"/>
  <c r="E30" i="5"/>
  <c r="E26" i="5"/>
  <c r="E22" i="5"/>
  <c r="E18" i="5"/>
  <c r="E14" i="5"/>
  <c r="E9" i="5"/>
  <c r="F6" i="5"/>
  <c r="F64" i="5"/>
  <c r="G64" i="5" s="1"/>
  <c r="F60" i="5"/>
  <c r="F56" i="5"/>
  <c r="F52" i="5"/>
  <c r="G52" i="5" s="1"/>
  <c r="F48" i="5"/>
  <c r="F44" i="5"/>
  <c r="G44" i="5" s="1"/>
  <c r="F40" i="5"/>
  <c r="F36" i="5"/>
  <c r="F32" i="5"/>
  <c r="G32" i="5" s="1"/>
  <c r="F28" i="5"/>
  <c r="F24" i="5"/>
  <c r="F20" i="5"/>
  <c r="F16" i="5"/>
  <c r="G16" i="5" s="1"/>
  <c r="F12" i="5"/>
  <c r="F8" i="5"/>
  <c r="E67" i="5"/>
  <c r="E63" i="5"/>
  <c r="E59" i="5"/>
  <c r="E48" i="5"/>
  <c r="E36" i="5"/>
  <c r="G36" i="5" s="1"/>
  <c r="E24" i="5"/>
  <c r="F66" i="5"/>
  <c r="F54" i="5"/>
  <c r="F42" i="5"/>
  <c r="F30" i="5"/>
  <c r="G30" i="5" s="1"/>
  <c r="F18" i="5"/>
  <c r="E69" i="5"/>
  <c r="G69" i="5" s="1"/>
  <c r="E47" i="5"/>
  <c r="E35" i="5"/>
  <c r="E23" i="5"/>
  <c r="E10" i="5"/>
  <c r="E6" i="5"/>
  <c r="F57" i="5"/>
  <c r="G57" i="5" s="1"/>
  <c r="D13" i="3" s="1"/>
  <c r="F45" i="5"/>
  <c r="F33" i="5"/>
  <c r="E57" i="5"/>
  <c r="E53" i="5"/>
  <c r="G53" i="5" s="1"/>
  <c r="E49" i="5"/>
  <c r="G49" i="5" s="1"/>
  <c r="E45" i="5"/>
  <c r="E41" i="5"/>
  <c r="E37" i="5"/>
  <c r="G37" i="5" s="1"/>
  <c r="E33" i="5"/>
  <c r="E29" i="5"/>
  <c r="E25" i="5"/>
  <c r="E21" i="5"/>
  <c r="G21" i="5" s="1"/>
  <c r="E17" i="5"/>
  <c r="G17" i="5" s="1"/>
  <c r="E13" i="5"/>
  <c r="G13" i="5" s="1"/>
  <c r="E8" i="5"/>
  <c r="F67" i="5"/>
  <c r="G67" i="5" s="1"/>
  <c r="F63" i="5"/>
  <c r="F59" i="5"/>
  <c r="F55" i="5"/>
  <c r="G55" i="5" s="1"/>
  <c r="F51" i="5"/>
  <c r="F47" i="5"/>
  <c r="F43" i="5"/>
  <c r="F39" i="5"/>
  <c r="G39" i="5" s="1"/>
  <c r="F35" i="5"/>
  <c r="G35" i="5" s="1"/>
  <c r="F31" i="5"/>
  <c r="G31" i="5" s="1"/>
  <c r="F27" i="5"/>
  <c r="F23" i="5"/>
  <c r="F19" i="5"/>
  <c r="G19" i="5" s="1"/>
  <c r="F15" i="5"/>
  <c r="F11" i="5"/>
  <c r="F7" i="5"/>
  <c r="G7" i="5" s="1"/>
  <c r="D12" i="3" s="1"/>
  <c r="E66" i="5"/>
  <c r="G66" i="5" s="1"/>
  <c r="E62" i="5"/>
  <c r="G62" i="5" s="1"/>
  <c r="G26" i="5"/>
  <c r="G6" i="5"/>
  <c r="D11" i="3" s="1"/>
  <c r="G46" i="5"/>
  <c r="G4" i="2"/>
  <c r="G33" i="5" l="1"/>
  <c r="G11" i="3" s="1"/>
  <c r="G24" i="5"/>
  <c r="G56" i="5"/>
  <c r="G61" i="5"/>
  <c r="G22" i="5"/>
  <c r="G48" i="5"/>
  <c r="G65" i="5"/>
  <c r="G14" i="5"/>
  <c r="G41" i="5"/>
  <c r="G38" i="5"/>
  <c r="G20" i="5"/>
  <c r="G47" i="5"/>
  <c r="G12" i="5"/>
  <c r="G60" i="5"/>
  <c r="G10" i="5"/>
  <c r="G25" i="5"/>
  <c r="G54" i="5"/>
  <c r="G29" i="5"/>
  <c r="G28" i="5"/>
  <c r="C7" i="4" s="1"/>
  <c r="C8" i="4" s="1"/>
  <c r="G63" i="5"/>
  <c r="G23" i="5"/>
  <c r="G10" i="3" s="1"/>
  <c r="G43" i="5"/>
  <c r="G59" i="5"/>
  <c r="G45" i="5"/>
  <c r="D7" i="3" s="1"/>
  <c r="C8" i="3" s="1"/>
  <c r="G11" i="5"/>
  <c r="G9" i="5"/>
  <c r="G15" i="5"/>
  <c r="G8" i="5"/>
  <c r="I3" i="2" s="1"/>
  <c r="G42" i="5"/>
  <c r="G40" i="5"/>
  <c r="E71" i="5"/>
  <c r="G51" i="5"/>
  <c r="G18" i="5"/>
  <c r="F71" i="5"/>
  <c r="G27" i="5"/>
  <c r="G8" i="3" l="1"/>
  <c r="D9" i="3" s="1"/>
  <c r="D8" i="3"/>
  <c r="F9" i="3" s="1"/>
  <c r="F8" i="3"/>
  <c r="F11" i="4"/>
  <c r="D14" i="3"/>
  <c r="G71" i="5"/>
  <c r="C9" i="3" l="1"/>
  <c r="G9" i="3"/>
  <c r="G27" i="3" s="1"/>
  <c r="F27" i="3" s="1"/>
  <c r="D27" i="3" l="1"/>
  <c r="C27" i="3" s="1"/>
  <c r="B9" i="4" s="1"/>
  <c r="C9" i="4" s="1"/>
  <c r="D9" i="4" s="1"/>
  <c r="C12" i="4" l="1"/>
</calcChain>
</file>

<file path=xl/sharedStrings.xml><?xml version="1.0" encoding="utf-8"?>
<sst xmlns="http://schemas.openxmlformats.org/spreadsheetml/2006/main" count="203" uniqueCount="102">
  <si>
    <t>DOC DATE</t>
  </si>
  <si>
    <t>G/L ACCOUNTS</t>
  </si>
  <si>
    <t>DESCRIPTION</t>
  </si>
  <si>
    <t>BALANCE STATUS</t>
  </si>
  <si>
    <t>GENERAL LEDGER</t>
  </si>
  <si>
    <t>ACCOUNTS GROUP</t>
  </si>
  <si>
    <t>NATURE</t>
  </si>
  <si>
    <t>DEBIT</t>
  </si>
  <si>
    <t>CREDIT</t>
  </si>
  <si>
    <t>BALANCE</t>
  </si>
  <si>
    <t>TO</t>
  </si>
  <si>
    <t>AMOUNT</t>
  </si>
  <si>
    <t>BY</t>
  </si>
  <si>
    <t>LIABILITIES</t>
  </si>
  <si>
    <t>ASSSET</t>
  </si>
  <si>
    <t>CAPITAL ACCOUNTS</t>
  </si>
  <si>
    <t>CAPITAL</t>
  </si>
  <si>
    <t>CASH</t>
  </si>
  <si>
    <t>BANK</t>
  </si>
  <si>
    <t>BUILDING</t>
  </si>
  <si>
    <t>PURCHASE</t>
  </si>
  <si>
    <t>SALES</t>
  </si>
  <si>
    <t>BANK CHARGES</t>
  </si>
  <si>
    <t>CASH IN HAND</t>
  </si>
  <si>
    <t>BANK ACCOUNT</t>
  </si>
  <si>
    <t>ASSETS</t>
  </si>
  <si>
    <t>FIXED ASSETS</t>
  </si>
  <si>
    <t>INDIRECT EXPENSES</t>
  </si>
  <si>
    <t>PURCHASE ACCOUNT</t>
  </si>
  <si>
    <t>EXPENSES</t>
  </si>
  <si>
    <t>SALES ACCOUNT</t>
  </si>
  <si>
    <t>INCOME</t>
  </si>
  <si>
    <t>started business with capital</t>
  </si>
  <si>
    <t>FURNTURE</t>
  </si>
  <si>
    <t>PLANT &amp; MACHINERY</t>
  </si>
  <si>
    <t>PURCHASE RETURN</t>
  </si>
  <si>
    <t>SALES RETURN</t>
  </si>
  <si>
    <t>ADVERTISEMENT</t>
  </si>
  <si>
    <t>DRAWING</t>
  </si>
  <si>
    <t>OPENING STOCK</t>
  </si>
  <si>
    <t>CLOSING STOCK</t>
  </si>
  <si>
    <t>COMMISSION(CR.)</t>
  </si>
  <si>
    <t>COMMISSION(DR.)</t>
  </si>
  <si>
    <t>DEBTORS</t>
  </si>
  <si>
    <t>CREDITORS</t>
  </si>
  <si>
    <t>LOAN</t>
  </si>
  <si>
    <t>SERVICE</t>
  </si>
  <si>
    <t>ACCOUNT RECEIVABLE</t>
  </si>
  <si>
    <t>ACCOUNT PAYABLE</t>
  </si>
  <si>
    <t>SALARIES</t>
  </si>
  <si>
    <t>WAGES</t>
  </si>
  <si>
    <t>VEHICLES</t>
  </si>
  <si>
    <t>REVENUE</t>
  </si>
  <si>
    <t>BAD DEBT</t>
  </si>
  <si>
    <t>ALLOWANCE FOR DOUBTFUL A/C</t>
  </si>
  <si>
    <t>TAX PAYABLE</t>
  </si>
  <si>
    <t>TAX RECEIVABLE</t>
  </si>
  <si>
    <t>DEPRECIATION</t>
  </si>
  <si>
    <t>ACCRUED INCOME</t>
  </si>
  <si>
    <t>ACCRUED EXPENSES</t>
  </si>
  <si>
    <t>ACCUMULATED DEPRECIATION</t>
  </si>
  <si>
    <t>PETTY CASH</t>
  </si>
  <si>
    <t>OFFICE SUPPLIES</t>
  </si>
  <si>
    <t>INTEREST RECEIVED</t>
  </si>
  <si>
    <t>INTEREST PAID</t>
  </si>
  <si>
    <t>DIVIDENDS PAYABLE</t>
  </si>
  <si>
    <t>RETAINED EARNINGS</t>
  </si>
  <si>
    <t>PREPAID RENT</t>
  </si>
  <si>
    <t>NOTES PAYABLE</t>
  </si>
  <si>
    <t>ELECTRICTY</t>
  </si>
  <si>
    <t>LOSS BY FIRE</t>
  </si>
  <si>
    <t>LOSS  BY THEFT</t>
  </si>
  <si>
    <t>CHARITY</t>
  </si>
  <si>
    <t>LIABILITY</t>
  </si>
  <si>
    <t>LONG TERM LIABILITY</t>
  </si>
  <si>
    <t>LONG TERM ASSETS</t>
  </si>
  <si>
    <t>GOODWILL</t>
  </si>
  <si>
    <t>PATENTS</t>
  </si>
  <si>
    <t>LAND</t>
  </si>
  <si>
    <t>INTANGIBLE ASSETS</t>
  </si>
  <si>
    <t xml:space="preserve"> ASSETS</t>
  </si>
  <si>
    <t>STOCK</t>
  </si>
  <si>
    <t>INVESTMENTS</t>
  </si>
  <si>
    <t>COGS</t>
  </si>
  <si>
    <t>CONTRA ASSETS</t>
  </si>
  <si>
    <t>POST DATE</t>
  </si>
  <si>
    <t>CR AMOUNT</t>
  </si>
  <si>
    <t>DR AMOUNT</t>
  </si>
  <si>
    <t>DR./CR.</t>
  </si>
  <si>
    <t>ELECTRICITY</t>
  </si>
  <si>
    <t>AMOUNT(DR)</t>
  </si>
  <si>
    <t>AMOUNT(CR)</t>
  </si>
  <si>
    <t>PARTICULARS(INCOME)</t>
  </si>
  <si>
    <t>PARTICULARS(EXPENSES)</t>
  </si>
  <si>
    <t>TOTAL</t>
  </si>
  <si>
    <t xml:space="preserve"> TOTAL</t>
  </si>
  <si>
    <t xml:space="preserve"> AMOUNT</t>
  </si>
  <si>
    <t>CURRENT ASSETS</t>
  </si>
  <si>
    <t>REF</t>
  </si>
  <si>
    <t>TRIAL BALANCE</t>
  </si>
  <si>
    <t>BALANCE SHEET</t>
  </si>
  <si>
    <t>PROFIT AND LOSS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</si>
</sst>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;[Red]#,##0.00"/>
    <numFmt numFmtId="165" formatCode="[$]dd/mm/yyyy;@" x16r2:formatCode16="[$-en-DE,1]dd/mm/yyyy;@"/>
  </numFmts>
  <fonts count="9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0" fillId="0" borderId="0" xfId="0" applyBorder="1"/>
    <xf numFmtId="0" fontId="0" fillId="0" borderId="1" xfId="0" applyBorder="1"/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4" fontId="0" fillId="0" borderId="0" xfId="0" applyNumberFormat="1" applyBorder="1" applyAlignment="1">
      <alignment horizontal="center"/>
    </xf>
    <xf numFmtId="164" fontId="0" fillId="0" borderId="1" xfId="0" applyNumberFormat="1" applyBorder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/>
    <xf numFmtId="4" fontId="1" fillId="0" borderId="0" xfId="0" applyNumberFormat="1" applyFont="1" applyBorder="1"/>
    <xf numFmtId="4" fontId="0" fillId="0" borderId="0" xfId="0" applyNumberFormat="1" applyAlignment="1">
      <alignment horizontal="center"/>
    </xf>
    <xf numFmtId="4" fontId="0" fillId="0" borderId="0" xfId="0" applyNumberFormat="1"/>
    <xf numFmtId="4" fontId="0" fillId="0" borderId="0" xfId="0" applyNumberFormat="1" applyBorder="1"/>
    <xf numFmtId="0" fontId="3" fillId="0" borderId="0" xfId="0" applyFont="1" applyAlignment="1"/>
    <xf numFmtId="0" fontId="0" fillId="0" borderId="0" xfId="0" applyFont="1" applyAlignment="1"/>
    <xf numFmtId="0" fontId="0" fillId="0" borderId="0" xfId="0" applyAlignment="1"/>
    <xf numFmtId="4" fontId="3" fillId="0" borderId="0" xfId="0" applyNumberFormat="1" applyFont="1" applyAlignment="1"/>
    <xf numFmtId="4" fontId="0" fillId="0" borderId="0" xfId="0" applyNumberFormat="1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/>
    <xf numFmtId="14" fontId="0" fillId="0" borderId="0" xfId="0" applyNumberFormat="1"/>
    <xf numFmtId="0" fontId="5" fillId="0" borderId="0" xfId="0" applyFont="1"/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0" borderId="0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</cellXfs>
  <cellStyles count="1">
    <cellStyle name="Normal" xfId="0" builtinId="0"/>
  </cellStyles>
  <dxfs count="33">
    <dxf>
      <numFmt numFmtId="4" formatCode="#,##0.00"/>
      <alignment horizontal="general" vertical="bottom" textRotation="0" wrapText="0" indent="0" justifyLastLine="0" shrinkToFit="0" readingOrder="0"/>
    </dxf>
    <dxf>
      <numFmt numFmtId="4" formatCode="#,##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</dxf>
    <dxf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]dd/mm/yyyy;@" x16r2:formatCode16="[$-en-DE,1]dd/mm/yyyy;@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TRIAL BALANCE'!A1"/><Relationship Id="rId2" Type="http://schemas.openxmlformats.org/officeDocument/2006/relationships/hyperlink" Target="#'BALANCE SHEET'!A1"/><Relationship Id="rId1" Type="http://schemas.openxmlformats.org/officeDocument/2006/relationships/hyperlink" Target="#JOURNAL!A1"/><Relationship Id="rId4" Type="http://schemas.openxmlformats.org/officeDocument/2006/relationships/hyperlink" Target="#'PROFIT AND LOS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10</xdr:row>
      <xdr:rowOff>38100</xdr:rowOff>
    </xdr:from>
    <xdr:to>
      <xdr:col>4</xdr:col>
      <xdr:colOff>552450</xdr:colOff>
      <xdr:row>11</xdr:row>
      <xdr:rowOff>152400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193B94-64E0-4060-9F94-2B19FC72B782}"/>
            </a:ext>
          </a:extLst>
        </xdr:cNvPr>
        <xdr:cNvSpPr/>
      </xdr:nvSpPr>
      <xdr:spPr>
        <a:xfrm>
          <a:off x="561975" y="1943100"/>
          <a:ext cx="24288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JOURNAL</a:t>
          </a:r>
          <a:endParaRPr lang="en-DE" sz="1400"/>
        </a:p>
      </xdr:txBody>
    </xdr:sp>
    <xdr:clientData/>
  </xdr:twoCellAnchor>
  <xdr:twoCellAnchor>
    <xdr:from>
      <xdr:col>0</xdr:col>
      <xdr:colOff>428625</xdr:colOff>
      <xdr:row>0</xdr:row>
      <xdr:rowOff>0</xdr:rowOff>
    </xdr:from>
    <xdr:to>
      <xdr:col>18</xdr:col>
      <xdr:colOff>295274</xdr:colOff>
      <xdr:row>4</xdr:row>
      <xdr:rowOff>152400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6492F6D-9922-4C2A-AF25-5E7AFFE69112}"/>
            </a:ext>
          </a:extLst>
        </xdr:cNvPr>
        <xdr:cNvSpPr/>
      </xdr:nvSpPr>
      <xdr:spPr>
        <a:xfrm>
          <a:off x="428625" y="0"/>
          <a:ext cx="10839449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/>
            <a:t>SIMPLE</a:t>
          </a:r>
          <a:r>
            <a:rPr lang="en-US" sz="4000" baseline="0"/>
            <a:t> BOOK KEEPING SYSTEM</a:t>
          </a:r>
          <a:endParaRPr lang="en-DE" sz="4000"/>
        </a:p>
      </xdr:txBody>
    </xdr:sp>
    <xdr:clientData/>
  </xdr:twoCellAnchor>
  <xdr:twoCellAnchor>
    <xdr:from>
      <xdr:col>0</xdr:col>
      <xdr:colOff>590550</xdr:colOff>
      <xdr:row>17</xdr:row>
      <xdr:rowOff>152400</xdr:rowOff>
    </xdr:from>
    <xdr:to>
      <xdr:col>4</xdr:col>
      <xdr:colOff>581025</xdr:colOff>
      <xdr:row>19</xdr:row>
      <xdr:rowOff>76200</xdr:rowOff>
    </xdr:to>
    <xdr:sp macro="" textlink="">
      <xdr:nvSpPr>
        <xdr:cNvPr id="7" name="Rectangle: Rounded Corner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6ABD82A-6A37-4DE9-9742-8DDB39FA1D9E}"/>
            </a:ext>
          </a:extLst>
        </xdr:cNvPr>
        <xdr:cNvSpPr/>
      </xdr:nvSpPr>
      <xdr:spPr>
        <a:xfrm>
          <a:off x="590550" y="3390900"/>
          <a:ext cx="24288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BALANCE</a:t>
          </a:r>
          <a:r>
            <a:rPr lang="en-US" sz="1400" baseline="0"/>
            <a:t> SHEET</a:t>
          </a:r>
          <a:endParaRPr lang="en-DE" sz="1400"/>
        </a:p>
      </xdr:txBody>
    </xdr:sp>
    <xdr:clientData/>
  </xdr:twoCellAnchor>
  <xdr:twoCellAnchor>
    <xdr:from>
      <xdr:col>1</xdr:col>
      <xdr:colOff>19050</xdr:colOff>
      <xdr:row>15</xdr:row>
      <xdr:rowOff>47625</xdr:rowOff>
    </xdr:from>
    <xdr:to>
      <xdr:col>5</xdr:col>
      <xdr:colOff>9525</xdr:colOff>
      <xdr:row>16</xdr:row>
      <xdr:rowOff>161925</xdr:rowOff>
    </xdr:to>
    <xdr:sp macro="" textlink="">
      <xdr:nvSpPr>
        <xdr:cNvPr id="8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CA2C69-444F-467D-B802-941C75BD3CE0}"/>
            </a:ext>
          </a:extLst>
        </xdr:cNvPr>
        <xdr:cNvSpPr/>
      </xdr:nvSpPr>
      <xdr:spPr>
        <a:xfrm>
          <a:off x="628650" y="2905125"/>
          <a:ext cx="24288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TRIAL</a:t>
          </a:r>
          <a:r>
            <a:rPr lang="en-US" sz="1400" baseline="0"/>
            <a:t> BALANCE</a:t>
          </a:r>
          <a:endParaRPr lang="en-DE" sz="1400"/>
        </a:p>
      </xdr:txBody>
    </xdr:sp>
    <xdr:clientData/>
  </xdr:twoCellAnchor>
  <xdr:twoCellAnchor>
    <xdr:from>
      <xdr:col>0</xdr:col>
      <xdr:colOff>581025</xdr:colOff>
      <xdr:row>12</xdr:row>
      <xdr:rowOff>142875</xdr:rowOff>
    </xdr:from>
    <xdr:to>
      <xdr:col>4</xdr:col>
      <xdr:colOff>571500</xdr:colOff>
      <xdr:row>14</xdr:row>
      <xdr:rowOff>66675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8D05F6-7566-4CD3-A9FD-FB7069A9D9CC}"/>
            </a:ext>
          </a:extLst>
        </xdr:cNvPr>
        <xdr:cNvSpPr/>
      </xdr:nvSpPr>
      <xdr:spPr>
        <a:xfrm>
          <a:off x="581025" y="2428875"/>
          <a:ext cx="24288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PROFIT</a:t>
          </a:r>
          <a:r>
            <a:rPr lang="en-US" sz="1400" baseline="0"/>
            <a:t> &amp; LOSS</a:t>
          </a:r>
        </a:p>
        <a:p>
          <a:pPr algn="ctr"/>
          <a:endParaRPr lang="en-DE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2</xdr:row>
      <xdr:rowOff>85725</xdr:rowOff>
    </xdr:from>
    <xdr:to>
      <xdr:col>7</xdr:col>
      <xdr:colOff>1628775</xdr:colOff>
      <xdr:row>4</xdr:row>
      <xdr:rowOff>9525</xdr:rowOff>
    </xdr:to>
    <xdr:sp macro="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FE6E41-75F4-4838-A671-2AC865698B8D}"/>
            </a:ext>
          </a:extLst>
        </xdr:cNvPr>
        <xdr:cNvSpPr/>
      </xdr:nvSpPr>
      <xdr:spPr>
        <a:xfrm>
          <a:off x="8020050" y="466725"/>
          <a:ext cx="153352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DASHBOARD</a:t>
          </a:r>
          <a:endParaRPr lang="en-DE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209550</xdr:colOff>
      <xdr:row>7</xdr:row>
      <xdr:rowOff>104775</xdr:rowOff>
    </xdr:from>
    <xdr:to>
      <xdr:col>11</xdr:col>
      <xdr:colOff>523875</xdr:colOff>
      <xdr:row>9</xdr:row>
      <xdr:rowOff>28575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069450-FE89-497B-A307-E84D926B81EC}"/>
            </a:ext>
          </a:extLst>
        </xdr:cNvPr>
        <xdr:cNvSpPr/>
      </xdr:nvSpPr>
      <xdr:spPr>
        <a:xfrm>
          <a:off x="10791825" y="1438275"/>
          <a:ext cx="153352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DASHBOARD</a:t>
          </a:r>
          <a:endParaRPr lang="en-DE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2</xdr:row>
      <xdr:rowOff>95250</xdr:rowOff>
    </xdr:from>
    <xdr:to>
      <xdr:col>10</xdr:col>
      <xdr:colOff>123825</xdr:colOff>
      <xdr:row>4</xdr:row>
      <xdr:rowOff>19050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A5C0DA-EC5B-444D-AAA1-80E71019888E}"/>
            </a:ext>
          </a:extLst>
        </xdr:cNvPr>
        <xdr:cNvSpPr/>
      </xdr:nvSpPr>
      <xdr:spPr>
        <a:xfrm>
          <a:off x="10601325" y="476250"/>
          <a:ext cx="153352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DASHBOARD</a:t>
          </a:r>
          <a:endParaRPr lang="en-DE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352425</xdr:colOff>
      <xdr:row>12</xdr:row>
      <xdr:rowOff>85725</xdr:rowOff>
    </xdr:from>
    <xdr:to>
      <xdr:col>21</xdr:col>
      <xdr:colOff>57150</xdr:colOff>
      <xdr:row>14</xdr:row>
      <xdr:rowOff>9525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14B8C4-8B16-4C69-BE06-09F6514839F1}"/>
            </a:ext>
          </a:extLst>
        </xdr:cNvPr>
        <xdr:cNvSpPr/>
      </xdr:nvSpPr>
      <xdr:spPr>
        <a:xfrm>
          <a:off x="10715625" y="1800225"/>
          <a:ext cx="153352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DASHBOARD</a:t>
          </a:r>
          <a:endParaRPr lang="en-DE" sz="1400"/>
        </a:p>
      </xdr:txBody>
    </xdr:sp>
    <xdr:clientData/>
  </xdr:twoCellAnchor>
  <xdr:twoCellAnchor>
    <xdr:from>
      <xdr:col>8</xdr:col>
      <xdr:colOff>38101</xdr:colOff>
      <xdr:row>4</xdr:row>
      <xdr:rowOff>0</xdr:rowOff>
    </xdr:from>
    <xdr:to>
      <xdr:col>10</xdr:col>
      <xdr:colOff>342901</xdr:colOff>
      <xdr:row>5</xdr:row>
      <xdr:rowOff>57150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FEE0B3-674B-4763-A400-CDE4C08A6A43}"/>
            </a:ext>
          </a:extLst>
        </xdr:cNvPr>
        <xdr:cNvSpPr/>
      </xdr:nvSpPr>
      <xdr:spPr>
        <a:xfrm>
          <a:off x="10887076" y="762000"/>
          <a:ext cx="1524000" cy="3524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DASHBOARD</a:t>
          </a:r>
          <a:endParaRPr lang="en-DE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270DCE-DFD7-4A0B-9CE1-463AEEB8F9F3}" name="Table2" displayName="Table2" ref="A5:H25" totalsRowShown="0" headerRowDxfId="30" dataDxfId="29" tableBorderDxfId="28">
  <autoFilter ref="A5:H25" xr:uid="{B5F28951-8754-4BF9-B6EB-64028E167464}"/>
  <tableColumns count="8">
    <tableColumn id="1" xr3:uid="{9A1BBF00-ACA3-470B-BF44-21E14EEA9569}" name="DOC DATE" dataDxfId="27"/>
    <tableColumn id="2" xr3:uid="{3FA00A56-5E37-47B4-8A36-24DB1FB9EE23}" name="POST DATE" dataDxfId="26"/>
    <tableColumn id="3" xr3:uid="{52A247E5-7A61-4E46-9675-8E66E625723F}" name="REF" dataDxfId="25"/>
    <tableColumn id="4" xr3:uid="{12960717-5A95-4337-BFDE-F4BD34C8A82A}" name="G/L ACCOUNTS" dataDxfId="24"/>
    <tableColumn id="5" xr3:uid="{E11F528C-ECB6-4CD5-AA2B-3E97213C97FE}" name="DR./CR." dataDxfId="23"/>
    <tableColumn id="6" xr3:uid="{9DEA1D3C-3215-4894-9432-18BF8CD6E6F2}" name="DR AMOUNT" dataDxfId="22"/>
    <tableColumn id="7" xr3:uid="{281025CB-1446-4F8A-9BF7-DD505CC3D9D6}" name="CR AMOUNT" dataDxfId="21"/>
    <tableColumn id="8" xr3:uid="{3A0218A9-40F0-4B3E-804D-AB1FB16B43E3}" name="DESCRIPTION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A56EAA-B699-4378-B21C-A94C955DC897}" name="Table1" displayName="Table1" ref="B5:G71" totalsRowCount="1">
  <autoFilter ref="B5:G70" xr:uid="{62238C24-DC1E-4A76-BC09-E16DE0D14818}"/>
  <sortState xmlns:xlrd2="http://schemas.microsoft.com/office/spreadsheetml/2017/richdata2" ref="B6:G169">
    <sortCondition ref="B5:B169"/>
  </sortState>
  <tableColumns count="6">
    <tableColumn id="1" xr3:uid="{DD0BDABE-3CBC-420F-8D48-61282D68E872}" name="GENERAL LEDGER"/>
    <tableColumn id="2" xr3:uid="{9BB7866D-2304-4544-B3EC-5E61BE4BD11D}" name="ACCOUNTS GROUP"/>
    <tableColumn id="3" xr3:uid="{FA7F85AA-8B4D-4C31-B9F4-2065B95D9114}" name="NATURE"/>
    <tableColumn id="4" xr3:uid="{5822C8C8-1660-44D0-8474-01BBB6E1372D}" name="DEBIT" totalsRowFunction="custom" dataDxfId="19" totalsRowDxfId="18">
      <calculatedColumnFormula>SUMIF(JOURNAL!D4:D5000,'TRIAL BALANCE'!B4:B4999,JOURNAL!F4:F5000)</calculatedColumnFormula>
      <totalsRowFormula>SUM(E6:E70)</totalsRowFormula>
    </tableColumn>
    <tableColumn id="5" xr3:uid="{5E933A11-702B-4405-A967-3017ECCE8B5B}" name="CREDIT" totalsRowFunction="custom" totalsRowDxfId="17">
      <calculatedColumnFormula>SUMIF(JOURNAL!D6:D5002,'TRIAL BALANCE'!B6:B5013,JOURNAL!G6:G5002)</calculatedColumnFormula>
      <totalsRowFormula>SUM(F6:F70)</totalsRowFormula>
    </tableColumn>
    <tableColumn id="6" xr3:uid="{568418B9-0520-4EC1-90AC-B09CD876D8E5}" name="BALANCE" totalsRowFunction="custom" dataDxfId="16" totalsRowDxfId="15">
      <calculatedColumnFormula>IF(OR(D6="CAPITAL",D6="liability",D6="income"),F6-E6,E6-F6)</calculatedColumnFormula>
      <totalsRowFormula>IF(OR(D71="CAPITAL",D71="liability",D71="income"),F71-E71,E71-F71)</totalsRow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EE249-EEFC-4EE8-98B4-4E70338CCF4E}" name="Table3" displayName="Table3" ref="B5:G27" totalsRowShown="0">
  <autoFilter ref="B5:G27" xr:uid="{F5ADD1EE-91B9-42EC-923C-BCB1994DF13F}"/>
  <tableColumns count="6">
    <tableColumn id="1" xr3:uid="{0B9551F1-9210-43C7-AD3E-7896BE508B6F}" name="TO"/>
    <tableColumn id="2" xr3:uid="{3477133D-56D2-436B-88ED-383EED44F40A}" name="PARTICULARS(EXPENSES)"/>
    <tableColumn id="3" xr3:uid="{BED0B82B-7949-4393-ADCA-355259968F46}" name="AMOUNT(DR)" dataDxfId="14"/>
    <tableColumn id="4" xr3:uid="{9B6736F3-1950-4BF5-9921-DBEE9075A4C0}" name="BY"/>
    <tableColumn id="5" xr3:uid="{3F7B1E57-C415-4124-B896-427E149A7EE7}" name="PARTICULARS(INCOME)"/>
    <tableColumn id="6" xr3:uid="{EEF33EDF-35DA-4306-AAA9-4C2BBD231667}" name="AMOUNT(CR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77E9B7-0961-46CD-80BA-41342EB940F6}" name="Table4" displayName="Table4" ref="B5:G10" totalsRowCount="1" headerRowDxfId="13" dataDxfId="12">
  <autoFilter ref="B5:G9" xr:uid="{3AB4F43A-FC50-449F-8563-7258C8634E1E}"/>
  <tableColumns count="6">
    <tableColumn id="1" xr3:uid="{D69AA2D8-57E2-45BB-8ECF-33E25748D5AF}" name="LIABILITIES" dataDxfId="11" totalsRowDxfId="10"/>
    <tableColumn id="2" xr3:uid="{32431D00-01C4-4FA9-B1FB-31E4D4A8AAFF}" name="AMOUNT" totalsRowFunction="custom" dataDxfId="9" totalsRowDxfId="8">
      <totalsRowFormula>SUMIF(Table4[[#Totals],[LIABILITIES]]:B5010,B7,'TRIAL BALANCE'!G6:G5000)</totalsRowFormula>
    </tableColumn>
    <tableColumn id="3" xr3:uid="{C047C461-11AA-4C2E-A1E1-631F96EFE72E}" name="TOTAL" dataDxfId="7" totalsRowDxfId="6">
      <calculatedColumnFormula>SUM(C6)</calculatedColumnFormula>
    </tableColumn>
    <tableColumn id="4" xr3:uid="{249EFB7D-40C8-42D6-BBB6-8D4F4EE7D8BC}" name="ASSSET" totalsRowLabel="CURRENT ASSETS" dataDxfId="5" totalsRowDxfId="4"/>
    <tableColumn id="5" xr3:uid="{F9B7BA56-AA33-4677-95F6-FA125F85CEF3}" name=" AMOUNT" dataDxfId="3" totalsRowDxfId="2"/>
    <tableColumn id="6" xr3:uid="{8A2762B8-86E5-4AB8-A82E-7D747265EE99}" name=" TOTAL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3A7BE-7A53-4F93-92D5-ED30CEF6452D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22BC7-5617-4C28-8ABD-C62FEB99E3CF}">
  <sheetPr codeName="Sheet2"/>
  <dimension ref="A2:I33"/>
  <sheetViews>
    <sheetView topLeftCell="A19" workbookViewId="0"/>
  </sheetViews>
  <sheetFormatPr defaultRowHeight="15" x14ac:dyDescent="0.25"/>
  <cols>
    <col min="1" max="1" width="15.7109375" customWidth="1"/>
    <col min="2" max="2" width="17.140625" customWidth="1"/>
    <col min="3" max="3" width="8.140625" customWidth="1"/>
    <col min="4" max="4" width="28.28515625" customWidth="1"/>
    <col min="5" max="5" width="12.42578125" customWidth="1"/>
    <col min="6" max="6" width="17.5703125" customWidth="1"/>
    <col min="7" max="7" width="19.5703125" customWidth="1"/>
    <col min="8" max="8" width="26.42578125" customWidth="1"/>
    <col min="9" max="9" width="19.140625" customWidth="1"/>
  </cols>
  <sheetData>
    <row r="2" spans="1:9" x14ac:dyDescent="0.25">
      <c r="B2" s="25"/>
      <c r="C2" s="28"/>
      <c r="D2" s="29"/>
      <c r="E2" s="29"/>
      <c r="I2" t="s">
        <v>59</v>
      </c>
    </row>
    <row r="3" spans="1:9" x14ac:dyDescent="0.25">
      <c r="B3" s="25"/>
      <c r="C3" s="24"/>
      <c r="D3" s="23"/>
      <c r="E3" s="23"/>
      <c r="I3" s="9">
        <f>SUMIF('TRIAL BALANCE'!B4:B5048,JOURNAL!I2,'TRIAL BALANCE'!G4:G5048)</f>
        <v>0</v>
      </c>
    </row>
    <row r="4" spans="1:9" x14ac:dyDescent="0.25">
      <c r="C4" s="30" t="str">
        <f ca="1">" JOURNAL ENTRIES AS ON "&amp;TEXT(TODAY(),"TT-MM-JJJJ")</f>
        <v xml:space="preserve"> JOURNAL ENTRIES AS ON 25-03-2021</v>
      </c>
      <c r="D4" s="31"/>
      <c r="E4" s="31"/>
      <c r="F4" t="s">
        <v>3</v>
      </c>
      <c r="G4" s="8">
        <f>F33-G33</f>
        <v>0</v>
      </c>
    </row>
    <row r="5" spans="1:9" ht="21" x14ac:dyDescent="0.35">
      <c r="A5" s="1" t="s">
        <v>0</v>
      </c>
      <c r="B5" s="1" t="s">
        <v>85</v>
      </c>
      <c r="C5" s="1" t="s">
        <v>98</v>
      </c>
      <c r="D5" s="1" t="s">
        <v>1</v>
      </c>
      <c r="E5" s="1" t="s">
        <v>88</v>
      </c>
      <c r="F5" s="11" t="s">
        <v>87</v>
      </c>
      <c r="G5" s="1" t="s">
        <v>86</v>
      </c>
      <c r="H5" s="1" t="s">
        <v>2</v>
      </c>
    </row>
    <row r="6" spans="1:9" x14ac:dyDescent="0.25">
      <c r="A6" s="4">
        <v>43936</v>
      </c>
      <c r="B6" s="22">
        <v>43936</v>
      </c>
      <c r="C6" s="5">
        <v>1</v>
      </c>
      <c r="D6" s="20" t="s">
        <v>15</v>
      </c>
      <c r="E6" s="5" t="s">
        <v>7</v>
      </c>
      <c r="F6" s="6"/>
      <c r="G6" s="6">
        <v>100</v>
      </c>
      <c r="H6" s="5" t="s">
        <v>32</v>
      </c>
    </row>
    <row r="7" spans="1:9" x14ac:dyDescent="0.25">
      <c r="A7" s="4">
        <v>43936</v>
      </c>
      <c r="B7" s="22">
        <v>43936</v>
      </c>
      <c r="C7" s="5"/>
      <c r="D7" s="20" t="s">
        <v>17</v>
      </c>
      <c r="E7" s="5" t="s">
        <v>7</v>
      </c>
      <c r="F7" s="6">
        <v>100</v>
      </c>
      <c r="G7" s="6"/>
      <c r="H7" s="5"/>
    </row>
    <row r="8" spans="1:9" x14ac:dyDescent="0.25">
      <c r="A8" s="4">
        <v>43941</v>
      </c>
      <c r="B8" s="22">
        <v>43941</v>
      </c>
      <c r="C8" s="5">
        <v>2</v>
      </c>
      <c r="D8" s="20" t="s">
        <v>18</v>
      </c>
      <c r="E8" s="5" t="s">
        <v>7</v>
      </c>
      <c r="F8" s="6">
        <v>50</v>
      </c>
      <c r="G8" s="6"/>
      <c r="H8" s="5"/>
    </row>
    <row r="9" spans="1:9" x14ac:dyDescent="0.25">
      <c r="A9" s="4">
        <v>43942</v>
      </c>
      <c r="B9" s="22">
        <v>43942</v>
      </c>
      <c r="C9" s="5"/>
      <c r="D9" s="20" t="s">
        <v>19</v>
      </c>
      <c r="E9" s="5" t="s">
        <v>7</v>
      </c>
      <c r="F9" s="6">
        <v>10</v>
      </c>
      <c r="G9" s="6"/>
      <c r="H9" s="5"/>
    </row>
    <row r="10" spans="1:9" x14ac:dyDescent="0.25">
      <c r="A10" s="4">
        <v>43943</v>
      </c>
      <c r="B10" s="22">
        <v>43943</v>
      </c>
      <c r="C10" s="5"/>
      <c r="D10" s="20" t="s">
        <v>37</v>
      </c>
      <c r="E10" s="5" t="s">
        <v>7</v>
      </c>
      <c r="F10" s="6"/>
      <c r="G10" s="6">
        <v>5</v>
      </c>
      <c r="H10" s="5"/>
      <c r="I10" s="26"/>
    </row>
    <row r="11" spans="1:9" x14ac:dyDescent="0.25">
      <c r="A11" s="4"/>
      <c r="B11" s="22">
        <v>44265</v>
      </c>
      <c r="C11" s="5"/>
      <c r="D11" s="21" t="s">
        <v>60</v>
      </c>
      <c r="E11" s="5" t="s">
        <v>8</v>
      </c>
      <c r="F11" s="6"/>
      <c r="G11" s="6">
        <v>55</v>
      </c>
      <c r="H11" s="5"/>
    </row>
    <row r="12" spans="1:9" x14ac:dyDescent="0.25">
      <c r="A12" s="4"/>
      <c r="B12" s="22"/>
      <c r="C12" s="5"/>
      <c r="D12" s="21" t="s">
        <v>48</v>
      </c>
      <c r="E12" s="5" t="s">
        <v>7</v>
      </c>
      <c r="F12" s="6">
        <v>75</v>
      </c>
      <c r="G12" s="6"/>
      <c r="H12" s="5"/>
    </row>
    <row r="13" spans="1:9" x14ac:dyDescent="0.25">
      <c r="A13" s="4"/>
      <c r="B13" s="22"/>
      <c r="C13" s="5"/>
      <c r="D13" s="21" t="s">
        <v>48</v>
      </c>
      <c r="E13" s="5" t="s">
        <v>7</v>
      </c>
      <c r="F13" s="6"/>
      <c r="G13" s="6">
        <v>75</v>
      </c>
      <c r="H13" s="5"/>
    </row>
    <row r="14" spans="1:9" x14ac:dyDescent="0.25">
      <c r="A14" s="4"/>
      <c r="B14" s="22"/>
      <c r="C14" s="5"/>
      <c r="D14" s="21" t="s">
        <v>50</v>
      </c>
      <c r="E14" s="5" t="s">
        <v>7</v>
      </c>
      <c r="F14" s="6">
        <v>5</v>
      </c>
      <c r="G14" s="6"/>
      <c r="H14" s="5"/>
    </row>
    <row r="15" spans="1:9" x14ac:dyDescent="0.25">
      <c r="A15" s="4"/>
      <c r="B15" s="22">
        <v>44271</v>
      </c>
      <c r="C15" s="5"/>
      <c r="D15" s="21" t="s">
        <v>22</v>
      </c>
      <c r="E15" s="5" t="s">
        <v>8</v>
      </c>
      <c r="F15" s="6"/>
      <c r="G15" s="6">
        <v>5</v>
      </c>
      <c r="H15" s="5"/>
    </row>
    <row r="16" spans="1:9" x14ac:dyDescent="0.25">
      <c r="A16" s="4">
        <v>44448</v>
      </c>
      <c r="B16" s="22"/>
      <c r="C16" s="5"/>
      <c r="D16" s="21" t="s">
        <v>21</v>
      </c>
      <c r="E16" s="5" t="s">
        <v>8</v>
      </c>
      <c r="F16" s="6"/>
      <c r="G16" s="6">
        <v>55</v>
      </c>
      <c r="H16" s="5"/>
    </row>
    <row r="17" spans="1:8" x14ac:dyDescent="0.25">
      <c r="A17" s="4"/>
      <c r="B17" s="22"/>
      <c r="C17" s="5"/>
      <c r="D17" s="21" t="s">
        <v>47</v>
      </c>
      <c r="E17" s="5" t="s">
        <v>7</v>
      </c>
      <c r="F17" s="6">
        <v>55</v>
      </c>
      <c r="G17" s="6"/>
      <c r="H17" s="5"/>
    </row>
    <row r="18" spans="1:8" x14ac:dyDescent="0.25">
      <c r="A18" s="4"/>
      <c r="B18" s="22"/>
      <c r="C18" s="5"/>
      <c r="D18" s="20" t="s">
        <v>20</v>
      </c>
      <c r="E18" s="5" t="s">
        <v>7</v>
      </c>
      <c r="F18" s="6">
        <v>78</v>
      </c>
      <c r="G18" s="6"/>
      <c r="H18" s="5"/>
    </row>
    <row r="19" spans="1:8" x14ac:dyDescent="0.25">
      <c r="A19" s="4"/>
      <c r="B19" s="22">
        <v>44263</v>
      </c>
      <c r="C19" s="5"/>
      <c r="D19" s="20" t="s">
        <v>48</v>
      </c>
      <c r="E19" s="5" t="s">
        <v>8</v>
      </c>
      <c r="F19" s="6"/>
      <c r="G19" s="6">
        <v>78</v>
      </c>
      <c r="H19" s="5"/>
    </row>
    <row r="20" spans="1:8" x14ac:dyDescent="0.25">
      <c r="A20" s="4">
        <v>41161</v>
      </c>
      <c r="B20" s="22">
        <f ca="1">TODAY()</f>
        <v>44280</v>
      </c>
      <c r="C20" s="5"/>
      <c r="D20" s="20" t="s">
        <v>38</v>
      </c>
      <c r="E20" s="5" t="s">
        <v>7</v>
      </c>
      <c r="F20" s="6">
        <v>10000</v>
      </c>
      <c r="G20" s="6"/>
      <c r="H20" s="5"/>
    </row>
    <row r="21" spans="1:8" x14ac:dyDescent="0.25">
      <c r="A21" s="4"/>
      <c r="B21" s="22" t="str">
        <f ca="1">IF(Table2[[#This Row],[G/L ACCOUNTS]]="","",TODAY())</f>
        <v/>
      </c>
      <c r="C21" s="5"/>
      <c r="D21" s="20"/>
      <c r="E21" s="5" t="s">
        <v>8</v>
      </c>
      <c r="F21" s="6"/>
      <c r="G21" s="6">
        <v>10000</v>
      </c>
      <c r="H21" s="5"/>
    </row>
    <row r="22" spans="1:8" x14ac:dyDescent="0.25">
      <c r="A22" s="4"/>
      <c r="B22" s="22">
        <f ca="1">IF(Table2[[#This Row],[G/L ACCOUNTS]]="","",TODAY())</f>
        <v>44280</v>
      </c>
      <c r="C22" s="5"/>
      <c r="D22" s="5" t="s">
        <v>17</v>
      </c>
      <c r="E22" s="5" t="s">
        <v>7</v>
      </c>
      <c r="F22" s="6">
        <v>100000</v>
      </c>
      <c r="G22" s="6"/>
      <c r="H22" s="5"/>
    </row>
    <row r="23" spans="1:8" x14ac:dyDescent="0.25">
      <c r="A23" s="4"/>
      <c r="B23" s="22">
        <f ca="1">IF(Table2[[#This Row],[G/L ACCOUNTS]]="","",TODAY())</f>
        <v>44280</v>
      </c>
      <c r="C23" s="5"/>
      <c r="D23" s="5" t="s">
        <v>21</v>
      </c>
      <c r="E23" s="5" t="s">
        <v>8</v>
      </c>
      <c r="F23" s="6"/>
      <c r="G23" s="6">
        <v>100000</v>
      </c>
      <c r="H23" s="5"/>
    </row>
    <row r="24" spans="1:8" x14ac:dyDescent="0.25">
      <c r="A24" s="4"/>
      <c r="B24" s="22" t="str">
        <f ca="1">IF(Table2[[#This Row],[G/L ACCOUNTS]]="","",TODAY())</f>
        <v/>
      </c>
      <c r="C24" s="5"/>
      <c r="D24" s="5"/>
      <c r="E24" s="5"/>
      <c r="F24" s="6"/>
      <c r="G24" s="6"/>
      <c r="H24" s="5"/>
    </row>
    <row r="25" spans="1:8" x14ac:dyDescent="0.25">
      <c r="A25" s="4"/>
      <c r="B25" s="22" t="str">
        <f ca="1">IF(Table2[[#This Row],[G/L ACCOUNTS]]="","",TODAY())</f>
        <v/>
      </c>
      <c r="C25" s="5"/>
      <c r="D25" s="5"/>
      <c r="E25" s="5"/>
      <c r="F25" s="6"/>
      <c r="G25" s="6"/>
      <c r="H25" s="5"/>
    </row>
    <row r="26" spans="1:8" x14ac:dyDescent="0.25">
      <c r="A26" s="5"/>
      <c r="B26" s="5"/>
      <c r="C26" s="5"/>
      <c r="D26" s="5"/>
      <c r="E26" s="5"/>
      <c r="F26" s="5"/>
      <c r="G26" s="5"/>
      <c r="H26" s="5"/>
    </row>
    <row r="27" spans="1:8" x14ac:dyDescent="0.25">
      <c r="A27" s="2"/>
      <c r="B27" s="2"/>
      <c r="C27" s="2"/>
      <c r="D27" s="2"/>
      <c r="E27" s="2"/>
      <c r="F27" s="2"/>
      <c r="G27" s="2"/>
      <c r="H27" s="2"/>
    </row>
    <row r="28" spans="1:8" x14ac:dyDescent="0.25">
      <c r="A28" s="3"/>
      <c r="B28" s="3"/>
      <c r="C28" s="3"/>
      <c r="D28" s="3"/>
      <c r="E28" s="3"/>
      <c r="H28" s="3"/>
    </row>
    <row r="33" spans="6:7" x14ac:dyDescent="0.25">
      <c r="F33" s="7">
        <f>SUM(F6:F27)</f>
        <v>110373</v>
      </c>
      <c r="G33" s="7">
        <f>SUM(G6:G27)</f>
        <v>110373</v>
      </c>
    </row>
  </sheetData>
  <mergeCells count="2">
    <mergeCell ref="C2:E2"/>
    <mergeCell ref="C4:E4"/>
  </mergeCells>
  <conditionalFormatting sqref="G4">
    <cfRule type="expression" dxfId="32" priority="2">
      <formula>$G$4&lt;&gt;0</formula>
    </cfRule>
  </conditionalFormatting>
  <conditionalFormatting sqref="I3">
    <cfRule type="expression" dxfId="31" priority="1">
      <formula>$I$3&gt;0</formula>
    </cfRule>
  </conditionalFormatting>
  <dataValidations count="1">
    <dataValidation type="list" allowBlank="1" showInputMessage="1" showErrorMessage="1" sqref="E6:E25" xr:uid="{03454359-E71D-411A-8A48-12A97D147144}">
      <formula1>"DEBIT,CREDIT"</formula1>
    </dataValidation>
  </dataValidations>
  <pageMargins left="0.7" right="0.7" top="0.75" bottom="0.75" header="0.3" footer="0.3"/>
  <pageSetup paperSize="0" orientation="portrait" horizontalDpi="0" verticalDpi="0" copies="0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9FC41B-79DB-4324-926A-8CAE477BEF79}">
          <x14:formula1>
            <xm:f>'TRIAL BALANCE'!$B$6:$B$57</xm:f>
          </x14:formula1>
          <xm:sqref>D6:D23</xm:sqref>
        </x14:dataValidation>
        <x14:dataValidation type="list" allowBlank="1" showInputMessage="1" showErrorMessage="1" xr:uid="{7857B5F0-11D7-48CE-9A04-BA96B331431A}">
          <x14:formula1>
            <xm:f>'TRIAL BALANCE'!$B$6:$B$90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37E1-E4EA-4B34-B0E2-C5E01269B93D}">
  <sheetPr codeName="Sheet3"/>
  <dimension ref="A1:G181"/>
  <sheetViews>
    <sheetView tabSelected="1" workbookViewId="0">
      <selection activeCell="C5" sqref="C5"/>
    </sheetView>
  </sheetViews>
  <sheetFormatPr defaultRowHeight="15" x14ac:dyDescent="0.25"/>
  <cols>
    <col min="2" max="2" width="24.7109375" customWidth="1"/>
    <col min="3" max="3" width="22.85546875" customWidth="1"/>
    <col min="4" max="4" width="20.28515625" customWidth="1"/>
    <col min="5" max="5" width="16.28515625" customWidth="1"/>
    <col min="6" max="6" width="29" customWidth="1"/>
    <col min="7" max="7" width="18.140625" customWidth="1"/>
  </cols>
  <sheetData>
    <row r="1" spans="1:7" x14ac:dyDescent="0.25">
      <c r="A1" s="27"/>
    </row>
    <row r="2" spans="1:7" x14ac:dyDescent="0.25">
      <c r="B2" s="32" t="s">
        <v>99</v>
      </c>
      <c r="C2" s="33"/>
      <c r="D2" s="33"/>
      <c r="E2" s="33"/>
      <c r="F2" s="33"/>
      <c r="G2" s="33"/>
    </row>
    <row r="3" spans="1:7" x14ac:dyDescent="0.25">
      <c r="B3" s="33"/>
      <c r="C3" s="33"/>
      <c r="D3" s="33"/>
      <c r="E3" s="33"/>
      <c r="F3" s="33"/>
      <c r="G3" s="33"/>
    </row>
    <row r="4" spans="1:7" x14ac:dyDescent="0.25">
      <c r="C4" s="31" t="str">
        <f ca="1">" TRIAL BALANCE AS ON "&amp;TEXT(TODAY(),"TT-MM-JJJJ")</f>
        <v xml:space="preserve"> TRIAL BALANCE AS ON 25-03-2021</v>
      </c>
      <c r="D4" s="31"/>
      <c r="E4" s="31"/>
    </row>
    <row r="5" spans="1:7" x14ac:dyDescent="0.25"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</row>
    <row r="6" spans="1:7" x14ac:dyDescent="0.25">
      <c r="B6" t="s">
        <v>48</v>
      </c>
      <c r="D6" t="s">
        <v>73</v>
      </c>
      <c r="E6" s="13">
        <f>SUMIF(JOURNAL!$D$6:$D$5002,'TRIAL BALANCE'!$B$6:$B$5003,JOURNAL!$F$6:$F$5002)</f>
        <v>75</v>
      </c>
      <c r="F6" s="12">
        <f>SUMIF(JOURNAL!$D$6:$D$5002,'TRIAL BALANCE'!$B$6:$B$5013,JOURNAL!$G$6:$G$5002)</f>
        <v>153</v>
      </c>
      <c r="G6" s="12">
        <f t="shared" ref="G6:G37" si="0">IF(OR(D6="CAPITAL",D6="liability",D6="income"),F6-E6,E6-F6)</f>
        <v>78</v>
      </c>
    </row>
    <row r="7" spans="1:7" x14ac:dyDescent="0.25">
      <c r="B7" t="s">
        <v>47</v>
      </c>
      <c r="D7" t="s">
        <v>80</v>
      </c>
      <c r="E7" s="13">
        <f>SUMIF(JOURNAL!$D$6:$D$5002,'TRIAL BALANCE'!$B$6:$B$5003,JOURNAL!$F$6:$F$5002)</f>
        <v>55</v>
      </c>
      <c r="F7" s="12">
        <f>SUMIF(JOURNAL!$D$6:$D$5002,'TRIAL BALANCE'!$B$6:$B$5013,JOURNAL!$G$6:$G$5002)</f>
        <v>0</v>
      </c>
      <c r="G7" s="12">
        <f t="shared" si="0"/>
        <v>55</v>
      </c>
    </row>
    <row r="8" spans="1:7" x14ac:dyDescent="0.25">
      <c r="B8" t="s">
        <v>59</v>
      </c>
      <c r="D8" t="s">
        <v>73</v>
      </c>
      <c r="E8" s="13">
        <f>SUMIF(JOURNAL!$D$6:$D$5002,'TRIAL BALANCE'!$B$6:$B$5003,JOURNAL!$F$6:$F$5002)</f>
        <v>0</v>
      </c>
      <c r="F8" s="12">
        <f>SUMIF(JOURNAL!$D$6:$D$5002,'TRIAL BALANCE'!$B$6:$B$5013,JOURNAL!$G$6:$G$5002)</f>
        <v>0</v>
      </c>
      <c r="G8" s="12">
        <f t="shared" si="0"/>
        <v>0</v>
      </c>
    </row>
    <row r="9" spans="1:7" x14ac:dyDescent="0.25">
      <c r="B9" t="s">
        <v>58</v>
      </c>
      <c r="D9" t="s">
        <v>80</v>
      </c>
      <c r="E9" s="13">
        <f>SUMIF(JOURNAL!$D$6:$D$5002,'TRIAL BALANCE'!$B$6:$B$5003,JOURNAL!$F$6:$F$5002)</f>
        <v>0</v>
      </c>
      <c r="F9" s="12">
        <f>SUMIF(JOURNAL!$D$6:$D$5002,'TRIAL BALANCE'!$B$6:$B$5013,JOURNAL!$G$6:$G$5002)</f>
        <v>0</v>
      </c>
      <c r="G9" s="12">
        <f t="shared" si="0"/>
        <v>0</v>
      </c>
    </row>
    <row r="10" spans="1:7" x14ac:dyDescent="0.25">
      <c r="B10" t="s">
        <v>60</v>
      </c>
      <c r="D10" t="s">
        <v>73</v>
      </c>
      <c r="E10" s="13">
        <f>SUMIF(JOURNAL!$D$6:$D$5002,'TRIAL BALANCE'!$B$6:$B$5003,JOURNAL!$F$6:$F$5002)</f>
        <v>0</v>
      </c>
      <c r="F10" s="12">
        <f>SUMIF(JOURNAL!$D$6:$D$5002,'TRIAL BALANCE'!$B$6:$B$5013,JOURNAL!$G$6:$G$5002)</f>
        <v>55</v>
      </c>
      <c r="G10" s="12">
        <f t="shared" si="0"/>
        <v>55</v>
      </c>
    </row>
    <row r="11" spans="1:7" x14ac:dyDescent="0.25">
      <c r="B11" t="s">
        <v>37</v>
      </c>
      <c r="C11" t="s">
        <v>27</v>
      </c>
      <c r="D11" t="s">
        <v>29</v>
      </c>
      <c r="E11" s="13">
        <f>SUMIF(JOURNAL!$D$6:$D$5002,'TRIAL BALANCE'!$B$6:$B$5003,JOURNAL!$F$6:$F$5002)</f>
        <v>0</v>
      </c>
      <c r="F11" s="12">
        <f>SUMIF(JOURNAL!$D$6:$D$5002,'TRIAL BALANCE'!$B$6:$B$5013,JOURNAL!$G$6:$G$5002)</f>
        <v>5</v>
      </c>
      <c r="G11" s="12">
        <f t="shared" si="0"/>
        <v>-5</v>
      </c>
    </row>
    <row r="12" spans="1:7" x14ac:dyDescent="0.25">
      <c r="B12" t="s">
        <v>54</v>
      </c>
      <c r="D12" t="s">
        <v>73</v>
      </c>
      <c r="E12" s="13">
        <f>SUMIF(JOURNAL!$D$6:$D$5002,'TRIAL BALANCE'!$B$6:$B$5003,JOURNAL!$F$6:$F$5002)</f>
        <v>0</v>
      </c>
      <c r="F12" s="12">
        <f>SUMIF(JOURNAL!$D$6:$D$5002,'TRIAL BALANCE'!$B$6:$B$5013,JOURNAL!$G$6:$G$5002)</f>
        <v>0</v>
      </c>
      <c r="G12" s="12">
        <f t="shared" si="0"/>
        <v>0</v>
      </c>
    </row>
    <row r="13" spans="1:7" x14ac:dyDescent="0.25">
      <c r="B13" t="s">
        <v>53</v>
      </c>
      <c r="D13" t="s">
        <v>25</v>
      </c>
      <c r="E13" s="13">
        <f>SUMIF(JOURNAL!$D$6:$D$5002,'TRIAL BALANCE'!$B$6:$B$5003,JOURNAL!$F$6:$F$5002)</f>
        <v>0</v>
      </c>
      <c r="F13" s="12">
        <f>SUMIF(JOURNAL!$D$6:$D$5002,'TRIAL BALANCE'!$B$6:$B$5013,JOURNAL!$G$6:$G$5002)</f>
        <v>0</v>
      </c>
      <c r="G13" s="12">
        <f t="shared" si="0"/>
        <v>0</v>
      </c>
    </row>
    <row r="14" spans="1:7" x14ac:dyDescent="0.25">
      <c r="B14" t="s">
        <v>18</v>
      </c>
      <c r="D14" t="s">
        <v>80</v>
      </c>
      <c r="E14" s="13">
        <f>SUMIF(JOURNAL!$D$6:$D$5002,'TRIAL BALANCE'!$B$6:$B$5003,JOURNAL!$F$6:$F$5002)</f>
        <v>50</v>
      </c>
      <c r="F14" s="12">
        <f>SUMIF(JOURNAL!$D$6:$D$5002,'TRIAL BALANCE'!$B$6:$B$5013,JOURNAL!$G$6:$G$5002)</f>
        <v>0</v>
      </c>
      <c r="G14" s="12">
        <f t="shared" si="0"/>
        <v>50</v>
      </c>
    </row>
    <row r="15" spans="1:7" x14ac:dyDescent="0.25">
      <c r="B15" t="s">
        <v>22</v>
      </c>
      <c r="C15" t="s">
        <v>28</v>
      </c>
      <c r="D15" t="s">
        <v>29</v>
      </c>
      <c r="E15" s="13">
        <f>SUMIF(JOURNAL!$D$6:$D$5002,'TRIAL BALANCE'!$B$6:$B$5003,JOURNAL!$F$6:$F$5002)</f>
        <v>0</v>
      </c>
      <c r="F15" s="12">
        <f>SUMIF(JOURNAL!$D$6:$D$5002,'TRIAL BALANCE'!$B$6:$B$5013,JOURNAL!$G$6:$G$5002)</f>
        <v>5</v>
      </c>
      <c r="G15" s="12">
        <f t="shared" si="0"/>
        <v>-5</v>
      </c>
    </row>
    <row r="16" spans="1:7" x14ac:dyDescent="0.25">
      <c r="B16" t="s">
        <v>19</v>
      </c>
      <c r="C16" t="s">
        <v>75</v>
      </c>
      <c r="D16" t="s">
        <v>80</v>
      </c>
      <c r="E16" s="13">
        <f>SUMIF(JOURNAL!$D$6:$D$5002,'TRIAL BALANCE'!$B$6:$B$5003,JOURNAL!$F$6:$F$5002)</f>
        <v>10</v>
      </c>
      <c r="F16" s="12">
        <f>SUMIF(JOURNAL!$D$6:$D$5002,'TRIAL BALANCE'!$B$6:$B$5013,JOURNAL!$G$6:$G$5002)</f>
        <v>0</v>
      </c>
      <c r="G16" s="12">
        <f t="shared" si="0"/>
        <v>10</v>
      </c>
    </row>
    <row r="17" spans="2:7" x14ac:dyDescent="0.25">
      <c r="B17" t="s">
        <v>15</v>
      </c>
      <c r="C17" t="s">
        <v>74</v>
      </c>
      <c r="D17" t="s">
        <v>16</v>
      </c>
      <c r="E17" s="13">
        <f>SUMIF(JOURNAL!$D$6:$D$5002,'TRIAL BALANCE'!$B$6:$B$5003,JOURNAL!$F$6:$F$5002)</f>
        <v>0</v>
      </c>
      <c r="F17" s="12">
        <f>SUMIF(JOURNAL!$D$6:$D$5002,'TRIAL BALANCE'!$B$6:$B$5013,JOURNAL!$G$6:$G$5002)</f>
        <v>100</v>
      </c>
      <c r="G17" s="12">
        <f t="shared" si="0"/>
        <v>100</v>
      </c>
    </row>
    <row r="18" spans="2:7" x14ac:dyDescent="0.25">
      <c r="B18" t="s">
        <v>17</v>
      </c>
      <c r="D18" t="s">
        <v>80</v>
      </c>
      <c r="E18" s="13">
        <f>SUMIF(JOURNAL!$D$6:$D$5002,'TRIAL BALANCE'!$B$6:$B$5003,JOURNAL!$F$6:$F$5002)</f>
        <v>100100</v>
      </c>
      <c r="F18" s="12">
        <f>SUMIF(JOURNAL!$D$6:$D$5002,'TRIAL BALANCE'!$B$6:$B$5013,JOURNAL!$G$6:$G$5002)</f>
        <v>0</v>
      </c>
      <c r="G18" s="12">
        <f t="shared" si="0"/>
        <v>100100</v>
      </c>
    </row>
    <row r="19" spans="2:7" x14ac:dyDescent="0.25">
      <c r="B19" t="s">
        <v>72</v>
      </c>
      <c r="D19" t="s">
        <v>29</v>
      </c>
      <c r="E19" s="13">
        <f>SUMIF(JOURNAL!$D$6:$D$5002,'TRIAL BALANCE'!$B$6:$B$5003,JOURNAL!$F$6:$F$5002)</f>
        <v>0</v>
      </c>
      <c r="F19" s="12">
        <f>SUMIF(JOURNAL!$D$6:$D$5002,'TRIAL BALANCE'!$B$6:$B$5013,JOURNAL!$G$6:$G$5002)</f>
        <v>0</v>
      </c>
      <c r="G19" s="12">
        <f t="shared" si="0"/>
        <v>0</v>
      </c>
    </row>
    <row r="20" spans="2:7" x14ac:dyDescent="0.25">
      <c r="B20" t="s">
        <v>40</v>
      </c>
      <c r="D20" t="s">
        <v>80</v>
      </c>
      <c r="E20" s="13">
        <f>SUMIF(JOURNAL!$D$6:$D$5002,'TRIAL BALANCE'!$B$6:$B$5003,JOURNAL!$F$6:$F$5002)</f>
        <v>0</v>
      </c>
      <c r="F20" s="12">
        <f>SUMIF(JOURNAL!$D$6:$D$5002,'TRIAL BALANCE'!$B$6:$B$5013,JOURNAL!$G$6:$G$5002)</f>
        <v>0</v>
      </c>
      <c r="G20" s="12">
        <f t="shared" si="0"/>
        <v>0</v>
      </c>
    </row>
    <row r="21" spans="2:7" x14ac:dyDescent="0.25">
      <c r="B21" t="s">
        <v>83</v>
      </c>
      <c r="D21" t="s">
        <v>29</v>
      </c>
      <c r="E21" s="13">
        <f>SUMIF(JOURNAL!$D$6:$D$5002,'TRIAL BALANCE'!$B$6:$B$5003,JOURNAL!$F$6:$F$5002)</f>
        <v>0</v>
      </c>
      <c r="F21" s="12">
        <f>SUMIF(JOURNAL!$D$6:$D$5002,'TRIAL BALANCE'!$B$6:$B$5013,JOURNAL!$G$6:$G$5002)</f>
        <v>0</v>
      </c>
      <c r="G21" s="12">
        <f t="shared" si="0"/>
        <v>0</v>
      </c>
    </row>
    <row r="22" spans="2:7" x14ac:dyDescent="0.25">
      <c r="B22" t="s">
        <v>41</v>
      </c>
      <c r="D22" t="s">
        <v>31</v>
      </c>
      <c r="E22" s="13">
        <f>SUMIF(JOURNAL!$D$6:$D$5002,'TRIAL BALANCE'!$B$6:$B$5003,JOURNAL!$F$6:$F$5002)</f>
        <v>0</v>
      </c>
      <c r="F22" s="12">
        <f>SUMIF(JOURNAL!$D$6:$D$5002,'TRIAL BALANCE'!$B$6:$B$5013,JOURNAL!$G$6:$G$5002)</f>
        <v>0</v>
      </c>
      <c r="G22" s="12">
        <f t="shared" si="0"/>
        <v>0</v>
      </c>
    </row>
    <row r="23" spans="2:7" x14ac:dyDescent="0.25">
      <c r="B23" t="s">
        <v>42</v>
      </c>
      <c r="D23" t="s">
        <v>29</v>
      </c>
      <c r="E23" s="13">
        <f>SUMIF(JOURNAL!$D$6:$D$5002,'TRIAL BALANCE'!$B$6:$B$5003,JOURNAL!$F$6:$F$5002)</f>
        <v>0</v>
      </c>
      <c r="F23" s="12">
        <f>SUMIF(JOURNAL!$D$6:$D$5002,'TRIAL BALANCE'!$B$6:$B$5013,JOURNAL!$G$6:$G$5002)</f>
        <v>0</v>
      </c>
      <c r="G23" s="12">
        <f t="shared" si="0"/>
        <v>0</v>
      </c>
    </row>
    <row r="24" spans="2:7" x14ac:dyDescent="0.25">
      <c r="B24" t="s">
        <v>44</v>
      </c>
      <c r="D24" t="s">
        <v>73</v>
      </c>
      <c r="E24" s="13">
        <f>SUMIF(JOURNAL!$D$6:$D$5002,'TRIAL BALANCE'!$B$6:$B$5003,JOURNAL!$F$6:$F$5002)</f>
        <v>0</v>
      </c>
      <c r="F24" s="12">
        <f>SUMIF(JOURNAL!$D$6:$D$5002,'TRIAL BALANCE'!$B$6:$B$5013,JOURNAL!$G$6:$G$5002)</f>
        <v>0</v>
      </c>
      <c r="G24" s="12">
        <f t="shared" si="0"/>
        <v>0</v>
      </c>
    </row>
    <row r="25" spans="2:7" x14ac:dyDescent="0.25">
      <c r="B25" t="s">
        <v>43</v>
      </c>
      <c r="C25" t="s">
        <v>27</v>
      </c>
      <c r="D25" t="s">
        <v>80</v>
      </c>
      <c r="E25" s="13">
        <f>SUMIF(JOURNAL!$D$6:$D$5002,'TRIAL BALANCE'!$B$6:$B$5003,JOURNAL!$F$6:$F$5002)</f>
        <v>0</v>
      </c>
      <c r="F25" s="12">
        <f>SUMIF(JOURNAL!$D$6:$D$5002,'TRIAL BALANCE'!$B$6:$B$5013,JOURNAL!$G$6:$G$5002)</f>
        <v>0</v>
      </c>
      <c r="G25" s="12">
        <f t="shared" si="0"/>
        <v>0</v>
      </c>
    </row>
    <row r="26" spans="2:7" x14ac:dyDescent="0.25">
      <c r="B26" t="s">
        <v>57</v>
      </c>
      <c r="D26" t="s">
        <v>29</v>
      </c>
      <c r="E26" s="13">
        <f>SUMIF(JOURNAL!$D$6:$D$5002,'TRIAL BALANCE'!$B$6:$B$5003,JOURNAL!$F$6:$F$5002)</f>
        <v>0</v>
      </c>
      <c r="F26" s="12">
        <f>SUMIF(JOURNAL!$D$6:$D$5002,'TRIAL BALANCE'!$B$6:$B$5013,JOURNAL!$G$6:$G$5002)</f>
        <v>0</v>
      </c>
      <c r="G26" s="12">
        <f t="shared" si="0"/>
        <v>0</v>
      </c>
    </row>
    <row r="27" spans="2:7" x14ac:dyDescent="0.25">
      <c r="B27" t="s">
        <v>65</v>
      </c>
      <c r="D27" t="s">
        <v>73</v>
      </c>
      <c r="E27" s="13">
        <f>SUMIF(JOURNAL!$D$6:$D$5002,'TRIAL BALANCE'!$B$6:$B$5003,JOURNAL!$F$6:$F$5002)</f>
        <v>0</v>
      </c>
      <c r="F27" s="12">
        <f>SUMIF(JOURNAL!$D$6:$D$5002,'TRIAL BALANCE'!$B$6:$B$5013,JOURNAL!$G$6:$G$5002)</f>
        <v>0</v>
      </c>
      <c r="G27" s="12">
        <f t="shared" si="0"/>
        <v>0</v>
      </c>
    </row>
    <row r="28" spans="2:7" x14ac:dyDescent="0.25">
      <c r="B28" t="s">
        <v>38</v>
      </c>
      <c r="D28" t="s">
        <v>73</v>
      </c>
      <c r="E28" s="13">
        <f>SUMIF(JOURNAL!$D$6:$D$5002,'TRIAL BALANCE'!$B$6:$B$5003,JOURNAL!$F$6:$F$5002)</f>
        <v>10000</v>
      </c>
      <c r="F28" s="12">
        <f>SUMIF(JOURNAL!$D$6:$D$5002,'TRIAL BALANCE'!$B$6:$B$5013,JOURNAL!$G$6:$G$5002)</f>
        <v>0</v>
      </c>
      <c r="G28" s="12">
        <f t="shared" si="0"/>
        <v>-10000</v>
      </c>
    </row>
    <row r="29" spans="2:7" x14ac:dyDescent="0.25">
      <c r="B29" t="s">
        <v>69</v>
      </c>
      <c r="D29" t="s">
        <v>29</v>
      </c>
      <c r="E29" s="13">
        <f>SUMIF(JOURNAL!$D$6:$D$5002,'TRIAL BALANCE'!$B$6:$B$5003,JOURNAL!$F$6:$F$5002)</f>
        <v>0</v>
      </c>
      <c r="F29" s="12">
        <f>SUMIF(JOURNAL!$D$6:$D$5002,'TRIAL BALANCE'!$B$6:$B$5013,JOURNAL!$G$6:$G$5002)</f>
        <v>0</v>
      </c>
      <c r="G29" s="12">
        <f t="shared" si="0"/>
        <v>0</v>
      </c>
    </row>
    <row r="30" spans="2:7" x14ac:dyDescent="0.25">
      <c r="B30" t="s">
        <v>33</v>
      </c>
      <c r="C30" t="s">
        <v>79</v>
      </c>
      <c r="D30" t="s">
        <v>80</v>
      </c>
      <c r="E30" s="13">
        <f>SUMIF(JOURNAL!$D$6:$D$5002,'TRIAL BALANCE'!$B$6:$B$5003,JOURNAL!$F$6:$F$5002)</f>
        <v>0</v>
      </c>
      <c r="F30" s="12">
        <f>SUMIF(JOURNAL!$D$6:$D$5002,'TRIAL BALANCE'!$B$6:$B$5013,JOURNAL!$G$6:$G$5002)</f>
        <v>0</v>
      </c>
      <c r="G30" s="12">
        <f t="shared" si="0"/>
        <v>0</v>
      </c>
    </row>
    <row r="31" spans="2:7" x14ac:dyDescent="0.25">
      <c r="B31" t="s">
        <v>76</v>
      </c>
      <c r="C31" t="s">
        <v>79</v>
      </c>
      <c r="D31" t="s">
        <v>80</v>
      </c>
      <c r="E31" s="13">
        <f>SUMIF(JOURNAL!$D$6:$D$5002,'TRIAL BALANCE'!$B$6:$B$5003,JOURNAL!$F$6:$F$5002)</f>
        <v>0</v>
      </c>
      <c r="F31" s="12">
        <f>SUMIF(JOURNAL!$D$6:$D$5002,'TRIAL BALANCE'!$B$6:$B$5013,JOURNAL!$G$6:$G$5002)</f>
        <v>0</v>
      </c>
      <c r="G31" s="12">
        <f t="shared" si="0"/>
        <v>0</v>
      </c>
    </row>
    <row r="32" spans="2:7" x14ac:dyDescent="0.25">
      <c r="B32" t="s">
        <v>64</v>
      </c>
      <c r="D32" t="s">
        <v>29</v>
      </c>
      <c r="E32" s="13">
        <f>SUMIF(JOURNAL!$D$6:$D$5002,'TRIAL BALANCE'!$B$6:$B$5003,JOURNAL!$F$6:$F$5002)</f>
        <v>0</v>
      </c>
      <c r="F32" s="12">
        <f>SUMIF(JOURNAL!$D$6:$D$5002,'TRIAL BALANCE'!$B$6:$B$5013,JOURNAL!$G$6:$G$5002)</f>
        <v>0</v>
      </c>
      <c r="G32" s="12">
        <f t="shared" si="0"/>
        <v>0</v>
      </c>
    </row>
    <row r="33" spans="2:7" x14ac:dyDescent="0.25">
      <c r="B33" t="s">
        <v>63</v>
      </c>
      <c r="D33" t="s">
        <v>31</v>
      </c>
      <c r="E33" s="13">
        <f>SUMIF(JOURNAL!$D$6:$D$5002,'TRIAL BALANCE'!$B$6:$B$5003,JOURNAL!$F$6:$F$5002)</f>
        <v>0</v>
      </c>
      <c r="F33" s="12">
        <f>SUMIF(JOURNAL!$D$6:$D$5002,'TRIAL BALANCE'!$B$6:$B$5013,JOURNAL!$G$6:$G$5002)</f>
        <v>0</v>
      </c>
      <c r="G33" s="12">
        <f t="shared" si="0"/>
        <v>0</v>
      </c>
    </row>
    <row r="34" spans="2:7" x14ac:dyDescent="0.25">
      <c r="B34" t="s">
        <v>78</v>
      </c>
      <c r="C34" t="s">
        <v>16</v>
      </c>
      <c r="D34" t="s">
        <v>80</v>
      </c>
      <c r="E34" s="13">
        <f>SUMIF(JOURNAL!$D$6:$D$5002,'TRIAL BALANCE'!$B$6:$B$5003,JOURNAL!$F$6:$F$5002)</f>
        <v>0</v>
      </c>
      <c r="F34" s="12">
        <f>SUMIF(JOURNAL!$D$6:$D$5002,'TRIAL BALANCE'!$B$6:$B$5013,JOURNAL!$G$6:$G$5002)</f>
        <v>0</v>
      </c>
      <c r="G34" s="12">
        <f t="shared" si="0"/>
        <v>0</v>
      </c>
    </row>
    <row r="35" spans="2:7" x14ac:dyDescent="0.25">
      <c r="B35" t="s">
        <v>45</v>
      </c>
      <c r="C35" t="s">
        <v>74</v>
      </c>
      <c r="D35" t="s">
        <v>73</v>
      </c>
      <c r="E35" s="13">
        <f>SUMIF(JOURNAL!$D$6:$D$5002,'TRIAL BALANCE'!$B$6:$B$5003,JOURNAL!$F$6:$F$5002)</f>
        <v>0</v>
      </c>
      <c r="F35" s="12">
        <f>SUMIF(JOURNAL!$D$6:$D$5002,'TRIAL BALANCE'!$B$6:$B$5013,JOURNAL!$G$6:$G$5002)</f>
        <v>0</v>
      </c>
      <c r="G35" s="12">
        <f t="shared" si="0"/>
        <v>0</v>
      </c>
    </row>
    <row r="36" spans="2:7" x14ac:dyDescent="0.25">
      <c r="B36" t="s">
        <v>71</v>
      </c>
      <c r="D36" t="s">
        <v>29</v>
      </c>
      <c r="E36" s="13">
        <f>SUMIF(JOURNAL!$D$6:$D$5002,'TRIAL BALANCE'!$B$6:$B$5003,JOURNAL!$F$6:$F$5002)</f>
        <v>0</v>
      </c>
      <c r="F36" s="12">
        <f>SUMIF(JOURNAL!$D$6:$D$5002,'TRIAL BALANCE'!$B$6:$B$5013,JOURNAL!$G$6:$G$5002)</f>
        <v>0</v>
      </c>
      <c r="G36" s="12">
        <f t="shared" si="0"/>
        <v>0</v>
      </c>
    </row>
    <row r="37" spans="2:7" x14ac:dyDescent="0.25">
      <c r="B37" t="s">
        <v>70</v>
      </c>
      <c r="D37" t="s">
        <v>29</v>
      </c>
      <c r="E37" s="13">
        <f>SUMIF(JOURNAL!$D$6:$D$5002,'TRIAL BALANCE'!$B$6:$B$5003,JOURNAL!$F$6:$F$5002)</f>
        <v>0</v>
      </c>
      <c r="F37" s="12">
        <f>SUMIF(JOURNAL!$D$6:$D$5002,'TRIAL BALANCE'!$B$6:$B$5013,JOURNAL!$G$6:$G$5002)</f>
        <v>0</v>
      </c>
      <c r="G37" s="12">
        <f t="shared" si="0"/>
        <v>0</v>
      </c>
    </row>
    <row r="38" spans="2:7" x14ac:dyDescent="0.25">
      <c r="B38" t="s">
        <v>68</v>
      </c>
      <c r="D38" t="s">
        <v>73</v>
      </c>
      <c r="E38" s="13">
        <f>SUMIF(JOURNAL!$D$6:$D$5002,'TRIAL BALANCE'!$B$6:$B$5003,JOURNAL!$F$6:$F$5002)</f>
        <v>0</v>
      </c>
      <c r="F38" s="12">
        <f>SUMIF(JOURNAL!$D$6:$D$5002,'TRIAL BALANCE'!$B$6:$B$5013,JOURNAL!$G$6:$G$5002)</f>
        <v>0</v>
      </c>
      <c r="G38" s="12">
        <f t="shared" ref="G38:G69" si="1">IF(OR(D38="CAPITAL",D38="liability",D38="income"),F38-E38,E38-F38)</f>
        <v>0</v>
      </c>
    </row>
    <row r="39" spans="2:7" x14ac:dyDescent="0.25">
      <c r="B39" t="s">
        <v>62</v>
      </c>
      <c r="C39" t="s">
        <v>84</v>
      </c>
      <c r="D39" t="s">
        <v>80</v>
      </c>
      <c r="E39" s="13">
        <f>SUMIF(JOURNAL!$D$6:$D$5002,'TRIAL BALANCE'!$B$6:$B$5003,JOURNAL!$F$6:$F$5002)</f>
        <v>0</v>
      </c>
      <c r="F39" s="12">
        <f>SUMIF(JOURNAL!$D$6:$D$5002,'TRIAL BALANCE'!$B$6:$B$5013,JOURNAL!$G$6:$G$5002)</f>
        <v>0</v>
      </c>
      <c r="G39" s="12">
        <f t="shared" si="1"/>
        <v>0</v>
      </c>
    </row>
    <row r="40" spans="2:7" x14ac:dyDescent="0.25">
      <c r="B40" t="s">
        <v>39</v>
      </c>
      <c r="C40" t="s">
        <v>30</v>
      </c>
      <c r="D40" t="s">
        <v>16</v>
      </c>
      <c r="E40" s="13">
        <f>SUMIF(JOURNAL!$D$6:$D$5002,'TRIAL BALANCE'!$B$6:$B$5003,JOURNAL!$F$6:$F$5002)</f>
        <v>0</v>
      </c>
      <c r="F40" s="12">
        <f>SUMIF(JOURNAL!$D$6:$D$5002,'TRIAL BALANCE'!$B$6:$B$5013,JOURNAL!$G$6:$G$5002)</f>
        <v>0</v>
      </c>
      <c r="G40" s="12">
        <f t="shared" si="1"/>
        <v>0</v>
      </c>
    </row>
    <row r="41" spans="2:7" x14ac:dyDescent="0.25">
      <c r="B41" t="s">
        <v>77</v>
      </c>
      <c r="C41" t="s">
        <v>24</v>
      </c>
      <c r="D41" t="s">
        <v>80</v>
      </c>
      <c r="E41" s="13">
        <f>SUMIF(JOURNAL!$D$6:$D$5002,'TRIAL BALANCE'!$B$6:$B$5003,JOURNAL!$F$6:$F$5002)</f>
        <v>0</v>
      </c>
      <c r="F41" s="12">
        <f>SUMIF(JOURNAL!$D$6:$D$5002,'TRIAL BALANCE'!$B$6:$B$5013,JOURNAL!$G$6:$G$5002)</f>
        <v>0</v>
      </c>
      <c r="G41" s="12">
        <f t="shared" si="1"/>
        <v>0</v>
      </c>
    </row>
    <row r="42" spans="2:7" x14ac:dyDescent="0.25">
      <c r="B42" t="s">
        <v>61</v>
      </c>
      <c r="C42" t="s">
        <v>82</v>
      </c>
      <c r="D42" t="s">
        <v>80</v>
      </c>
      <c r="E42" s="13">
        <f>SUMIF(JOURNAL!$D$6:$D$5002,'TRIAL BALANCE'!$B$6:$B$5003,JOURNAL!$F$6:$F$5002)</f>
        <v>0</v>
      </c>
      <c r="F42" s="12">
        <f>SUMIF(JOURNAL!$D$6:$D$5002,'TRIAL BALANCE'!$B$6:$B$5013,JOURNAL!$G$6:$G$5002)</f>
        <v>0</v>
      </c>
      <c r="G42" s="12">
        <f t="shared" si="1"/>
        <v>0</v>
      </c>
    </row>
    <row r="43" spans="2:7" x14ac:dyDescent="0.25">
      <c r="B43" t="s">
        <v>34</v>
      </c>
      <c r="C43" t="s">
        <v>26</v>
      </c>
      <c r="D43" t="s">
        <v>80</v>
      </c>
      <c r="E43" s="13">
        <f>SUMIF(JOURNAL!$D$6:$D$5002,'TRIAL BALANCE'!$B$6:$B$5003,JOURNAL!$F$6:$F$5002)</f>
        <v>0</v>
      </c>
      <c r="F43" s="12">
        <f>SUMIF(JOURNAL!$D$6:$D$5002,'TRIAL BALANCE'!$B$6:$B$5013,JOURNAL!$G$6:$G$5002)</f>
        <v>0</v>
      </c>
      <c r="G43" s="12">
        <f t="shared" si="1"/>
        <v>0</v>
      </c>
    </row>
    <row r="44" spans="2:7" x14ac:dyDescent="0.25">
      <c r="B44" t="s">
        <v>67</v>
      </c>
      <c r="C44" t="s">
        <v>23</v>
      </c>
      <c r="D44" t="s">
        <v>80</v>
      </c>
      <c r="E44" s="13">
        <f>SUMIF(JOURNAL!$D$6:$D$5002,'TRIAL BALANCE'!$B$6:$B$5003,JOURNAL!$F$6:$F$5002)</f>
        <v>0</v>
      </c>
      <c r="F44" s="12">
        <f>SUMIF(JOURNAL!$D$6:$D$5002,'TRIAL BALANCE'!$B$6:$B$5013,JOURNAL!$G$6:$G$5002)</f>
        <v>0</v>
      </c>
      <c r="G44" s="12">
        <f t="shared" si="1"/>
        <v>0</v>
      </c>
    </row>
    <row r="45" spans="2:7" x14ac:dyDescent="0.25">
      <c r="B45" t="s">
        <v>20</v>
      </c>
      <c r="C45" t="s">
        <v>28</v>
      </c>
      <c r="D45" t="s">
        <v>29</v>
      </c>
      <c r="E45" s="13">
        <f>SUMIF(JOURNAL!$D$6:$D$5002,'TRIAL BALANCE'!$B$6:$B$5003,JOURNAL!$F$6:$F$5002)</f>
        <v>78</v>
      </c>
      <c r="F45" s="12">
        <f>SUMIF(JOURNAL!$D$6:$D$5002,'TRIAL BALANCE'!$B$6:$B$5013,JOURNAL!$G$6:$G$5002)</f>
        <v>0</v>
      </c>
      <c r="G45" s="12">
        <f t="shared" si="1"/>
        <v>78</v>
      </c>
    </row>
    <row r="46" spans="2:7" x14ac:dyDescent="0.25">
      <c r="B46" t="s">
        <v>35</v>
      </c>
      <c r="D46" t="s">
        <v>31</v>
      </c>
      <c r="E46" s="13">
        <f>SUMIF(JOURNAL!$D$6:$D$5002,'TRIAL BALANCE'!$B$6:$B$5003,JOURNAL!$F$6:$F$5002)</f>
        <v>0</v>
      </c>
      <c r="F46" s="12">
        <f>SUMIF(JOURNAL!$D$6:$D$5002,'TRIAL BALANCE'!$B$6:$B$5013,JOURNAL!$G$6:$G$5002)</f>
        <v>0</v>
      </c>
      <c r="G46" s="12">
        <f t="shared" si="1"/>
        <v>0</v>
      </c>
    </row>
    <row r="47" spans="2:7" x14ac:dyDescent="0.25">
      <c r="B47" t="s">
        <v>66</v>
      </c>
      <c r="D47" t="s">
        <v>29</v>
      </c>
      <c r="E47" s="13">
        <f>SUMIF(JOURNAL!$D$6:$D$5002,'TRIAL BALANCE'!$B$6:$B$5003,JOURNAL!$F$6:$F$5002)</f>
        <v>0</v>
      </c>
      <c r="F47" s="12">
        <f>SUMIF(JOURNAL!$D$6:$D$5002,'TRIAL BALANCE'!$B$6:$B$5013,JOURNAL!$G$6:$G$5002)</f>
        <v>0</v>
      </c>
      <c r="G47" s="12">
        <f t="shared" si="1"/>
        <v>0</v>
      </c>
    </row>
    <row r="48" spans="2:7" x14ac:dyDescent="0.25">
      <c r="B48" t="s">
        <v>52</v>
      </c>
      <c r="D48" t="s">
        <v>31</v>
      </c>
      <c r="E48" s="13">
        <f>SUMIF(JOURNAL!$D$6:$D$5002,'TRIAL BALANCE'!$B$6:$B$5003,JOURNAL!$F$6:$F$5002)</f>
        <v>0</v>
      </c>
      <c r="F48" s="12">
        <f>SUMIF(JOURNAL!$D$6:$D$5002,'TRIAL BALANCE'!$B$6:$B$5013,JOURNAL!$G$6:$G$5002)</f>
        <v>0</v>
      </c>
      <c r="G48" s="12">
        <f t="shared" si="1"/>
        <v>0</v>
      </c>
    </row>
    <row r="49" spans="2:7" x14ac:dyDescent="0.25">
      <c r="B49" t="s">
        <v>49</v>
      </c>
      <c r="D49" t="s">
        <v>29</v>
      </c>
      <c r="E49" s="13">
        <f>SUMIF(JOURNAL!$D$6:$D$5002,'TRIAL BALANCE'!$B$6:$B$5003,JOURNAL!$F$6:$F$5002)</f>
        <v>0</v>
      </c>
      <c r="F49" s="12">
        <f>SUMIF(JOURNAL!$D$6:$D$5002,'TRIAL BALANCE'!$B$6:$B$5013,JOURNAL!$G$6:$G$5002)</f>
        <v>0</v>
      </c>
      <c r="G49" s="12">
        <f t="shared" si="1"/>
        <v>0</v>
      </c>
    </row>
    <row r="50" spans="2:7" x14ac:dyDescent="0.25">
      <c r="B50" t="s">
        <v>21</v>
      </c>
      <c r="D50" t="s">
        <v>31</v>
      </c>
      <c r="E50" s="13">
        <f>SUMIF(JOURNAL!$D$6:$D$5002,'TRIAL BALANCE'!$B$6:$B$5003,JOURNAL!$F$6:$F$5002)</f>
        <v>0</v>
      </c>
      <c r="F50" s="12">
        <f>SUMIF(JOURNAL!$D$6:$D$5002,'TRIAL BALANCE'!$B$6:$B$5013,JOURNAL!$G$6:$G$5002)</f>
        <v>100055</v>
      </c>
      <c r="G50" s="12">
        <f t="shared" si="1"/>
        <v>100055</v>
      </c>
    </row>
    <row r="51" spans="2:7" x14ac:dyDescent="0.25">
      <c r="B51" t="s">
        <v>36</v>
      </c>
      <c r="D51" t="s">
        <v>29</v>
      </c>
      <c r="E51" s="13">
        <f>SUMIF(JOURNAL!$D$6:$D$5002,'TRIAL BALANCE'!$B$6:$B$5003,JOURNAL!$F$6:$F$5002)</f>
        <v>0</v>
      </c>
      <c r="F51" s="12">
        <f>SUMIF(JOURNAL!$D$6:$D$5002,'TRIAL BALANCE'!$B$6:$B$5013,JOURNAL!$G$6:$G$5002)</f>
        <v>0</v>
      </c>
      <c r="G51" s="12">
        <f t="shared" si="1"/>
        <v>0</v>
      </c>
    </row>
    <row r="52" spans="2:7" x14ac:dyDescent="0.25">
      <c r="B52" t="s">
        <v>46</v>
      </c>
      <c r="D52" t="s">
        <v>31</v>
      </c>
      <c r="E52" s="13">
        <f>SUMIF(JOURNAL!$D$6:$D$5002,'TRIAL BALANCE'!$B$6:$B$5003,JOURNAL!$F$6:$F$5002)</f>
        <v>0</v>
      </c>
      <c r="F52" s="12">
        <f>SUMIF(JOURNAL!$D$6:$D$5002,'TRIAL BALANCE'!$B$6:$B$5013,JOURNAL!$G$6:$G$5002)</f>
        <v>0</v>
      </c>
      <c r="G52" s="12">
        <f t="shared" si="1"/>
        <v>0</v>
      </c>
    </row>
    <row r="53" spans="2:7" x14ac:dyDescent="0.25">
      <c r="B53" t="s">
        <v>81</v>
      </c>
      <c r="D53" t="s">
        <v>80</v>
      </c>
      <c r="E53" s="13">
        <f>SUMIF(JOURNAL!$D$6:$D$5002,'TRIAL BALANCE'!$B$6:$B$5003,JOURNAL!$F$6:$F$5002)</f>
        <v>0</v>
      </c>
      <c r="F53" s="12">
        <f>SUMIF(JOURNAL!$D$6:$D$5002,'TRIAL BALANCE'!$B$6:$B$5013,JOURNAL!$G$6:$G$5002)</f>
        <v>0</v>
      </c>
      <c r="G53" s="12">
        <f t="shared" si="1"/>
        <v>0</v>
      </c>
    </row>
    <row r="54" spans="2:7" x14ac:dyDescent="0.25">
      <c r="B54" t="s">
        <v>55</v>
      </c>
      <c r="D54" t="s">
        <v>73</v>
      </c>
      <c r="E54" s="13">
        <f>SUMIF(JOURNAL!$D$6:$D$5002,'TRIAL BALANCE'!$B$6:$B$5003,JOURNAL!$F$6:$F$5002)</f>
        <v>0</v>
      </c>
      <c r="F54" s="12">
        <f>SUMIF(JOURNAL!$D$6:$D$5002,'TRIAL BALANCE'!$B$6:$B$5013,JOURNAL!$G$6:$G$5002)</f>
        <v>0</v>
      </c>
      <c r="G54" s="12">
        <f t="shared" si="1"/>
        <v>0</v>
      </c>
    </row>
    <row r="55" spans="2:7" x14ac:dyDescent="0.25">
      <c r="B55" t="s">
        <v>56</v>
      </c>
      <c r="C55" t="s">
        <v>26</v>
      </c>
      <c r="D55" t="s">
        <v>80</v>
      </c>
      <c r="E55" s="13">
        <f>SUMIF(JOURNAL!$D$6:$D$5002,'TRIAL BALANCE'!$B$6:$B$5003,JOURNAL!$F$6:$F$5002)</f>
        <v>0</v>
      </c>
      <c r="F55" s="12">
        <f>SUMIF(JOURNAL!$D$6:$D$5002,'TRIAL BALANCE'!$B$6:$B$5013,JOURNAL!$G$6:$G$5002)</f>
        <v>0</v>
      </c>
      <c r="G55" s="12">
        <f t="shared" si="1"/>
        <v>0</v>
      </c>
    </row>
    <row r="56" spans="2:7" x14ac:dyDescent="0.25">
      <c r="B56" t="s">
        <v>51</v>
      </c>
      <c r="C56" t="s">
        <v>26</v>
      </c>
      <c r="D56" t="s">
        <v>80</v>
      </c>
      <c r="E56" s="13">
        <f>SUMIF(JOURNAL!$D$6:$D$5002,'TRIAL BALANCE'!$B$6:$B$5003,JOURNAL!$F$6:$F$5002)</f>
        <v>0</v>
      </c>
      <c r="F56" s="12">
        <f>SUMIF(JOURNAL!$D$6:$D$5002,'TRIAL BALANCE'!$B$6:$B$5013,JOURNAL!$G$6:$G$5002)</f>
        <v>0</v>
      </c>
      <c r="G56" s="12">
        <f t="shared" si="1"/>
        <v>0</v>
      </c>
    </row>
    <row r="57" spans="2:7" x14ac:dyDescent="0.25">
      <c r="B57" t="s">
        <v>50</v>
      </c>
      <c r="D57" t="s">
        <v>29</v>
      </c>
      <c r="E57" s="13">
        <f>SUMIF(JOURNAL!$D$6:$D$5002,'TRIAL BALANCE'!$B$6:$B$5003,JOURNAL!$F$6:$F$5002)</f>
        <v>5</v>
      </c>
      <c r="F57" s="12">
        <f>SUMIF(JOURNAL!$D$6:$D$5002,'TRIAL BALANCE'!$B$6:$B$5013,JOURNAL!$G$6:$G$5002)</f>
        <v>0</v>
      </c>
      <c r="G57" s="12">
        <f t="shared" si="1"/>
        <v>5</v>
      </c>
    </row>
    <row r="58" spans="2:7" x14ac:dyDescent="0.25">
      <c r="E58" s="13">
        <f>SUMIF(JOURNAL!$D$6:$D$5002,'TRIAL BALANCE'!$B$6:$B$5003,JOURNAL!$F$6:$F$5002)</f>
        <v>0</v>
      </c>
      <c r="F58" s="12">
        <f>SUMIF(JOURNAL!$D$6:$D$5002,'TRIAL BALANCE'!$B$6:$B$5013,JOURNAL!$G$6:$G$5002)</f>
        <v>0</v>
      </c>
      <c r="G58" s="12">
        <f t="shared" si="1"/>
        <v>0</v>
      </c>
    </row>
    <row r="59" spans="2:7" x14ac:dyDescent="0.25">
      <c r="E59" s="13">
        <f>SUMIF(JOURNAL!$D$6:$D$5002,'TRIAL BALANCE'!$B$6:$B$5003,JOURNAL!$F$6:$F$5002)</f>
        <v>0</v>
      </c>
      <c r="F59" s="12">
        <f>SUMIF(JOURNAL!$D$6:$D$5002,'TRIAL BALANCE'!$B$6:$B$5013,JOURNAL!$G$6:$G$5002)</f>
        <v>0</v>
      </c>
      <c r="G59" s="12">
        <f t="shared" si="1"/>
        <v>0</v>
      </c>
    </row>
    <row r="60" spans="2:7" x14ac:dyDescent="0.25">
      <c r="E60" s="13">
        <f>SUMIF(JOURNAL!$D$6:$D$5002,'TRIAL BALANCE'!$B$6:$B$5003,JOURNAL!$F$6:$F$5002)</f>
        <v>0</v>
      </c>
      <c r="F60" s="12">
        <f>SUMIF(JOURNAL!$D$6:$D$5002,'TRIAL BALANCE'!$B$6:$B$5013,JOURNAL!$G$6:$G$5002)</f>
        <v>0</v>
      </c>
      <c r="G60" s="12">
        <f t="shared" si="1"/>
        <v>0</v>
      </c>
    </row>
    <row r="61" spans="2:7" x14ac:dyDescent="0.25">
      <c r="E61" s="13">
        <f>SUMIF(JOURNAL!$D$6:$D$5002,'TRIAL BALANCE'!$B$6:$B$5003,JOURNAL!$F$6:$F$5002)</f>
        <v>0</v>
      </c>
      <c r="F61" s="12">
        <f>SUMIF(JOURNAL!$D$6:$D$5002,'TRIAL BALANCE'!$B$6:$B$5013,JOURNAL!$G$6:$G$5002)</f>
        <v>0</v>
      </c>
      <c r="G61" s="12">
        <f t="shared" si="1"/>
        <v>0</v>
      </c>
    </row>
    <row r="62" spans="2:7" x14ac:dyDescent="0.25">
      <c r="E62" s="13">
        <f>SUMIF(JOURNAL!$D$6:$D$5002,'TRIAL BALANCE'!$B$6:$B$5003,JOURNAL!$F$6:$F$5002)</f>
        <v>0</v>
      </c>
      <c r="F62" s="12">
        <f>SUMIF(JOURNAL!$D$6:$D$5002,'TRIAL BALANCE'!$B$6:$B$5013,JOURNAL!$G$6:$G$5002)</f>
        <v>0</v>
      </c>
      <c r="G62" s="12">
        <f t="shared" si="1"/>
        <v>0</v>
      </c>
    </row>
    <row r="63" spans="2:7" x14ac:dyDescent="0.25">
      <c r="E63" s="13">
        <f>SUMIF(JOURNAL!$D$6:$D$5002,'TRIAL BALANCE'!$B$6:$B$5003,JOURNAL!$F$6:$F$5002)</f>
        <v>0</v>
      </c>
      <c r="F63" s="12">
        <f>SUMIF(JOURNAL!$D$6:$D$5002,'TRIAL BALANCE'!$B$6:$B$5013,JOURNAL!$G$6:$G$5002)</f>
        <v>0</v>
      </c>
      <c r="G63" s="12">
        <f t="shared" si="1"/>
        <v>0</v>
      </c>
    </row>
    <row r="64" spans="2:7" x14ac:dyDescent="0.25">
      <c r="E64" s="13">
        <f>SUMIF(JOURNAL!$D$6:$D$5002,'TRIAL BALANCE'!$B$6:$B$5003,JOURNAL!$F$6:$F$5002)</f>
        <v>0</v>
      </c>
      <c r="F64" s="12">
        <f>SUMIF(JOURNAL!$D$6:$D$5002,'TRIAL BALANCE'!$B$6:$B$5013,JOURNAL!$G$6:$G$5002)</f>
        <v>0</v>
      </c>
      <c r="G64" s="12">
        <f t="shared" si="1"/>
        <v>0</v>
      </c>
    </row>
    <row r="65" spans="5:7" x14ac:dyDescent="0.25">
      <c r="E65" s="13">
        <f>SUMIF(JOURNAL!$D$6:$D$5002,'TRIAL BALANCE'!$B$6:$B$5003,JOURNAL!$F$6:$F$5002)</f>
        <v>0</v>
      </c>
      <c r="F65" s="12">
        <f>SUMIF(JOURNAL!$D$6:$D$5002,'TRIAL BALANCE'!$B$6:$B$5013,JOURNAL!$G$6:$G$5002)</f>
        <v>0</v>
      </c>
      <c r="G65" s="12">
        <f t="shared" si="1"/>
        <v>0</v>
      </c>
    </row>
    <row r="66" spans="5:7" x14ac:dyDescent="0.25">
      <c r="E66" s="13">
        <f>SUMIF(JOURNAL!$D$6:$D$5002,'TRIAL BALANCE'!$B$6:$B$5003,JOURNAL!$F$6:$F$5002)</f>
        <v>0</v>
      </c>
      <c r="F66" s="12">
        <f>SUMIF(JOURNAL!$D$6:$D$5002,'TRIAL BALANCE'!$B$6:$B$5013,JOURNAL!$G$6:$G$5002)</f>
        <v>0</v>
      </c>
      <c r="G66" s="12">
        <f t="shared" si="1"/>
        <v>0</v>
      </c>
    </row>
    <row r="67" spans="5:7" x14ac:dyDescent="0.25">
      <c r="E67" s="13">
        <f>SUMIF(JOURNAL!$D$6:$D$5002,'TRIAL BALANCE'!$B$6:$B$5003,JOURNAL!$F$6:$F$5002)</f>
        <v>0</v>
      </c>
      <c r="F67" s="12">
        <f>SUMIF(JOURNAL!$D$6:$D$5002,'TRIAL BALANCE'!$B$6:$B$5013,JOURNAL!$G$6:$G$5002)</f>
        <v>0</v>
      </c>
      <c r="G67" s="12">
        <f t="shared" si="1"/>
        <v>0</v>
      </c>
    </row>
    <row r="68" spans="5:7" x14ac:dyDescent="0.25">
      <c r="E68" s="13">
        <f>SUMIF(JOURNAL!$D$6:$D$5002,'TRIAL BALANCE'!$B$6:$B$5003,JOURNAL!$F$6:$F$5002)</f>
        <v>0</v>
      </c>
      <c r="F68" s="9">
        <f>SUMIF(JOURNAL!D68:D5064,'TRIAL BALANCE'!B68:B5075,JOURNAL!G68:G5064)</f>
        <v>0</v>
      </c>
      <c r="G68" s="12">
        <f t="shared" si="1"/>
        <v>0</v>
      </c>
    </row>
    <row r="69" spans="5:7" x14ac:dyDescent="0.25">
      <c r="E69" s="13">
        <f>SUMIF(JOURNAL!$D$6:$D$5002,'TRIAL BALANCE'!$B$6:$B$5003,JOURNAL!$F$6:$F$5002)</f>
        <v>0</v>
      </c>
      <c r="F69" s="9">
        <f>SUMIF(JOURNAL!D69:D5065,'TRIAL BALANCE'!B69:B5076,JOURNAL!G69:G5065)</f>
        <v>0</v>
      </c>
      <c r="G69" s="12">
        <f t="shared" si="1"/>
        <v>0</v>
      </c>
    </row>
    <row r="70" spans="5:7" x14ac:dyDescent="0.25">
      <c r="E70" s="13">
        <f>SUMIF(JOURNAL!D68:D5064,'TRIAL BALANCE'!B68:B5063,JOURNAL!F68:F5064)</f>
        <v>0</v>
      </c>
      <c r="F70">
        <f>SUMIF(JOURNAL!D70:D5066,'TRIAL BALANCE'!B70:B5077,JOURNAL!G70:G5066)</f>
        <v>0</v>
      </c>
      <c r="G70" s="12">
        <f>IF(OR(D70="CAPITAL",D70="liability",D70="income"),F70-E70,E70-F70)</f>
        <v>0</v>
      </c>
    </row>
    <row r="71" spans="5:7" x14ac:dyDescent="0.25">
      <c r="E71" s="12">
        <f>SUM(E6:E70)</f>
        <v>110373</v>
      </c>
      <c r="F71" s="12">
        <f>SUM(F6:F70)</f>
        <v>100373</v>
      </c>
      <c r="G71" s="12">
        <f>IF(OR(D71="CAPITAL",D71="liability",D71="income"),F71-E71,E71-F71)</f>
        <v>10000</v>
      </c>
    </row>
    <row r="72" spans="5:7" x14ac:dyDescent="0.25">
      <c r="E72" s="12"/>
      <c r="F72" s="9"/>
      <c r="G72" s="9"/>
    </row>
    <row r="73" spans="5:7" x14ac:dyDescent="0.25">
      <c r="E73" s="9"/>
      <c r="F73" s="9"/>
      <c r="G73" s="9"/>
    </row>
    <row r="74" spans="5:7" x14ac:dyDescent="0.25">
      <c r="E74" s="9"/>
      <c r="F74" s="9"/>
      <c r="G74" s="9"/>
    </row>
    <row r="75" spans="5:7" x14ac:dyDescent="0.25">
      <c r="E75" s="9"/>
      <c r="F75" s="9"/>
      <c r="G75" s="9"/>
    </row>
    <row r="76" spans="5:7" x14ac:dyDescent="0.25">
      <c r="E76" s="9"/>
      <c r="F76" s="9"/>
      <c r="G76" s="9"/>
    </row>
    <row r="77" spans="5:7" x14ac:dyDescent="0.25">
      <c r="E77" s="9"/>
      <c r="F77" s="9"/>
      <c r="G77" s="9"/>
    </row>
    <row r="78" spans="5:7" x14ac:dyDescent="0.25">
      <c r="E78" s="9"/>
      <c r="F78" s="9"/>
      <c r="G78" s="9"/>
    </row>
    <row r="79" spans="5:7" x14ac:dyDescent="0.25">
      <c r="E79" s="9"/>
      <c r="F79" s="9"/>
      <c r="G79" s="9"/>
    </row>
    <row r="80" spans="5:7" x14ac:dyDescent="0.25">
      <c r="E80" s="9"/>
      <c r="F80" s="9"/>
      <c r="G80" s="9"/>
    </row>
    <row r="81" spans="5:7" x14ac:dyDescent="0.25">
      <c r="E81" s="9"/>
      <c r="F81" s="9"/>
      <c r="G81" s="9"/>
    </row>
    <row r="82" spans="5:7" x14ac:dyDescent="0.25">
      <c r="E82" s="9"/>
      <c r="F82" s="9"/>
      <c r="G82" s="9"/>
    </row>
    <row r="83" spans="5:7" x14ac:dyDescent="0.25">
      <c r="E83" s="9"/>
      <c r="F83" s="9"/>
      <c r="G83" s="9"/>
    </row>
    <row r="84" spans="5:7" x14ac:dyDescent="0.25">
      <c r="E84" s="9"/>
      <c r="F84" s="9"/>
      <c r="G84" s="9"/>
    </row>
    <row r="85" spans="5:7" x14ac:dyDescent="0.25">
      <c r="E85" s="9"/>
      <c r="F85" s="9"/>
      <c r="G85" s="9"/>
    </row>
    <row r="86" spans="5:7" x14ac:dyDescent="0.25">
      <c r="E86" s="9"/>
      <c r="F86" s="9"/>
      <c r="G86" s="9"/>
    </row>
    <row r="87" spans="5:7" x14ac:dyDescent="0.25">
      <c r="E87" s="9"/>
      <c r="F87" s="9"/>
      <c r="G87" s="9"/>
    </row>
    <row r="88" spans="5:7" x14ac:dyDescent="0.25">
      <c r="E88" s="9"/>
      <c r="F88" s="9"/>
      <c r="G88" s="9"/>
    </row>
    <row r="89" spans="5:7" x14ac:dyDescent="0.25">
      <c r="E89" s="9"/>
      <c r="F89" s="9"/>
      <c r="G89" s="9"/>
    </row>
    <row r="90" spans="5:7" x14ac:dyDescent="0.25">
      <c r="E90" s="9"/>
      <c r="F90" s="9"/>
      <c r="G90" s="9"/>
    </row>
    <row r="91" spans="5:7" x14ac:dyDescent="0.25">
      <c r="E91" s="9"/>
      <c r="F91" s="9"/>
      <c r="G91" s="9"/>
    </row>
    <row r="92" spans="5:7" x14ac:dyDescent="0.25">
      <c r="E92" s="9"/>
      <c r="F92" s="9"/>
      <c r="G92" s="9"/>
    </row>
    <row r="93" spans="5:7" x14ac:dyDescent="0.25">
      <c r="E93" s="9"/>
      <c r="F93" s="9"/>
      <c r="G93" s="9"/>
    </row>
    <row r="94" spans="5:7" x14ac:dyDescent="0.25">
      <c r="E94" s="9"/>
      <c r="F94" s="9"/>
      <c r="G94" s="9"/>
    </row>
    <row r="95" spans="5:7" x14ac:dyDescent="0.25">
      <c r="E95" s="9"/>
      <c r="F95" s="9"/>
      <c r="G95" s="9"/>
    </row>
    <row r="96" spans="5:7" x14ac:dyDescent="0.25">
      <c r="E96" s="9"/>
      <c r="F96" s="9"/>
      <c r="G96" s="9"/>
    </row>
    <row r="97" spans="5:7" x14ac:dyDescent="0.25">
      <c r="E97" s="9"/>
      <c r="F97" s="9"/>
      <c r="G97" s="9"/>
    </row>
    <row r="98" spans="5:7" x14ac:dyDescent="0.25">
      <c r="E98" s="9"/>
      <c r="F98" s="9"/>
      <c r="G98" s="9"/>
    </row>
    <row r="99" spans="5:7" x14ac:dyDescent="0.25">
      <c r="E99" s="9"/>
      <c r="F99" s="9"/>
      <c r="G99" s="9"/>
    </row>
    <row r="100" spans="5:7" x14ac:dyDescent="0.25">
      <c r="E100" s="9"/>
      <c r="F100" s="9"/>
      <c r="G100" s="9"/>
    </row>
    <row r="101" spans="5:7" x14ac:dyDescent="0.25">
      <c r="E101" s="9"/>
      <c r="F101" s="9"/>
      <c r="G101" s="9"/>
    </row>
    <row r="102" spans="5:7" x14ac:dyDescent="0.25">
      <c r="E102" s="9"/>
      <c r="F102" s="9"/>
      <c r="G102" s="9"/>
    </row>
    <row r="103" spans="5:7" x14ac:dyDescent="0.25">
      <c r="E103" s="9"/>
      <c r="F103" s="9"/>
      <c r="G103" s="9"/>
    </row>
    <row r="104" spans="5:7" x14ac:dyDescent="0.25">
      <c r="E104" s="9"/>
      <c r="F104" s="9"/>
      <c r="G104" s="9"/>
    </row>
    <row r="105" spans="5:7" x14ac:dyDescent="0.25">
      <c r="E105" s="9"/>
      <c r="F105" s="9"/>
      <c r="G105" s="9"/>
    </row>
    <row r="106" spans="5:7" x14ac:dyDescent="0.25">
      <c r="E106" s="9"/>
      <c r="F106" s="9"/>
      <c r="G106" s="9"/>
    </row>
    <row r="107" spans="5:7" x14ac:dyDescent="0.25">
      <c r="E107" s="9"/>
      <c r="F107" s="9"/>
      <c r="G107" s="9"/>
    </row>
    <row r="108" spans="5:7" x14ac:dyDescent="0.25">
      <c r="E108" s="9"/>
      <c r="F108" s="9"/>
      <c r="G108" s="9"/>
    </row>
    <row r="109" spans="5:7" x14ac:dyDescent="0.25">
      <c r="E109" s="9"/>
      <c r="F109" s="9"/>
      <c r="G109" s="9"/>
    </row>
    <row r="110" spans="5:7" x14ac:dyDescent="0.25">
      <c r="E110" s="9"/>
      <c r="F110" s="9"/>
      <c r="G110" s="9"/>
    </row>
    <row r="111" spans="5:7" x14ac:dyDescent="0.25">
      <c r="E111" s="9"/>
      <c r="F111" s="9"/>
      <c r="G111" s="9"/>
    </row>
    <row r="112" spans="5:7" x14ac:dyDescent="0.25">
      <c r="E112" s="9"/>
      <c r="F112" s="9"/>
      <c r="G112" s="9"/>
    </row>
    <row r="113" spans="5:7" x14ac:dyDescent="0.25">
      <c r="E113" s="9"/>
      <c r="F113" s="9"/>
      <c r="G113" s="9"/>
    </row>
    <row r="114" spans="5:7" x14ac:dyDescent="0.25">
      <c r="E114" s="9"/>
      <c r="F114" s="9"/>
      <c r="G114" s="9"/>
    </row>
    <row r="115" spans="5:7" x14ac:dyDescent="0.25">
      <c r="E115" s="9"/>
      <c r="F115" s="9"/>
      <c r="G115" s="9"/>
    </row>
    <row r="116" spans="5:7" x14ac:dyDescent="0.25">
      <c r="E116" s="9"/>
      <c r="F116" s="9"/>
      <c r="G116" s="9"/>
    </row>
    <row r="117" spans="5:7" x14ac:dyDescent="0.25">
      <c r="E117" s="9"/>
      <c r="F117" s="9"/>
      <c r="G117" s="9"/>
    </row>
    <row r="118" spans="5:7" x14ac:dyDescent="0.25">
      <c r="E118" s="9"/>
      <c r="F118" s="9"/>
      <c r="G118" s="9"/>
    </row>
    <row r="119" spans="5:7" x14ac:dyDescent="0.25">
      <c r="E119" s="9"/>
      <c r="F119" s="9"/>
      <c r="G119" s="9"/>
    </row>
    <row r="120" spans="5:7" x14ac:dyDescent="0.25">
      <c r="E120" s="9"/>
      <c r="F120" s="9"/>
      <c r="G120" s="9"/>
    </row>
    <row r="121" spans="5:7" x14ac:dyDescent="0.25">
      <c r="E121" s="9"/>
      <c r="F121" s="9"/>
      <c r="G121" s="9"/>
    </row>
    <row r="122" spans="5:7" x14ac:dyDescent="0.25">
      <c r="E122" s="9"/>
      <c r="F122" s="9"/>
      <c r="G122" s="9"/>
    </row>
    <row r="123" spans="5:7" x14ac:dyDescent="0.25">
      <c r="E123" s="9"/>
      <c r="F123" s="9"/>
      <c r="G123" s="9"/>
    </row>
    <row r="124" spans="5:7" x14ac:dyDescent="0.25">
      <c r="E124" s="9"/>
      <c r="F124" s="9"/>
      <c r="G124" s="9"/>
    </row>
    <row r="125" spans="5:7" x14ac:dyDescent="0.25">
      <c r="E125" s="9"/>
      <c r="F125" s="9"/>
      <c r="G125" s="9"/>
    </row>
    <row r="126" spans="5:7" x14ac:dyDescent="0.25">
      <c r="E126" s="9"/>
      <c r="F126" s="9"/>
      <c r="G126" s="9"/>
    </row>
    <row r="127" spans="5:7" x14ac:dyDescent="0.25">
      <c r="E127" s="9"/>
      <c r="F127" s="9"/>
      <c r="G127" s="9"/>
    </row>
    <row r="128" spans="5:7" x14ac:dyDescent="0.25">
      <c r="E128" s="9"/>
      <c r="F128" s="9"/>
      <c r="G128" s="9"/>
    </row>
    <row r="129" spans="5:7" x14ac:dyDescent="0.25">
      <c r="E129" s="9"/>
      <c r="F129" s="9"/>
      <c r="G129" s="9"/>
    </row>
    <row r="130" spans="5:7" x14ac:dyDescent="0.25">
      <c r="E130" s="9"/>
      <c r="F130" s="9"/>
      <c r="G130" s="9"/>
    </row>
    <row r="131" spans="5:7" x14ac:dyDescent="0.25">
      <c r="E131" s="9"/>
      <c r="F131" s="9"/>
      <c r="G131" s="9"/>
    </row>
    <row r="132" spans="5:7" x14ac:dyDescent="0.25">
      <c r="E132" s="9"/>
      <c r="F132" s="9"/>
      <c r="G132" s="9"/>
    </row>
    <row r="133" spans="5:7" x14ac:dyDescent="0.25">
      <c r="E133" s="9"/>
      <c r="F133" s="9"/>
      <c r="G133" s="9"/>
    </row>
    <row r="134" spans="5:7" x14ac:dyDescent="0.25">
      <c r="E134" s="9"/>
      <c r="F134" s="9"/>
      <c r="G134" s="9"/>
    </row>
    <row r="135" spans="5:7" x14ac:dyDescent="0.25">
      <c r="E135" s="9"/>
      <c r="F135" s="9"/>
      <c r="G135" s="9"/>
    </row>
    <row r="136" spans="5:7" x14ac:dyDescent="0.25">
      <c r="E136" s="9"/>
      <c r="F136" s="9"/>
      <c r="G136" s="9"/>
    </row>
    <row r="137" spans="5:7" x14ac:dyDescent="0.25">
      <c r="E137" s="9"/>
      <c r="F137" s="9"/>
      <c r="G137" s="9"/>
    </row>
    <row r="138" spans="5:7" x14ac:dyDescent="0.25">
      <c r="E138" s="9"/>
      <c r="F138" s="9"/>
      <c r="G138" s="9"/>
    </row>
    <row r="139" spans="5:7" x14ac:dyDescent="0.25">
      <c r="E139" s="9"/>
      <c r="F139" s="9"/>
      <c r="G139" s="9"/>
    </row>
    <row r="140" spans="5:7" x14ac:dyDescent="0.25">
      <c r="E140" s="9"/>
      <c r="F140" s="9"/>
      <c r="G140" s="9"/>
    </row>
    <row r="141" spans="5:7" x14ac:dyDescent="0.25">
      <c r="E141" s="9"/>
      <c r="F141" s="9"/>
      <c r="G141" s="9"/>
    </row>
    <row r="142" spans="5:7" x14ac:dyDescent="0.25">
      <c r="E142" s="9"/>
      <c r="F142" s="9"/>
      <c r="G142" s="9"/>
    </row>
    <row r="143" spans="5:7" x14ac:dyDescent="0.25">
      <c r="E143" s="9"/>
      <c r="F143" s="9"/>
      <c r="G143" s="9"/>
    </row>
    <row r="144" spans="5:7" x14ac:dyDescent="0.25">
      <c r="E144" s="9"/>
      <c r="F144" s="9"/>
      <c r="G144" s="9"/>
    </row>
    <row r="145" spans="5:7" x14ac:dyDescent="0.25">
      <c r="E145" s="9"/>
      <c r="F145" s="9"/>
      <c r="G145" s="9"/>
    </row>
    <row r="146" spans="5:7" x14ac:dyDescent="0.25">
      <c r="E146" s="9"/>
      <c r="F146" s="9"/>
      <c r="G146" s="9"/>
    </row>
    <row r="147" spans="5:7" x14ac:dyDescent="0.25">
      <c r="E147" s="9"/>
      <c r="F147" s="9"/>
      <c r="G147" s="9"/>
    </row>
    <row r="148" spans="5:7" x14ac:dyDescent="0.25">
      <c r="E148" s="9"/>
      <c r="F148" s="9"/>
      <c r="G148" s="9"/>
    </row>
    <row r="149" spans="5:7" x14ac:dyDescent="0.25">
      <c r="E149" s="9"/>
      <c r="F149" s="9"/>
      <c r="G149" s="9"/>
    </row>
    <row r="150" spans="5:7" x14ac:dyDescent="0.25">
      <c r="E150" s="9"/>
      <c r="F150" s="9"/>
      <c r="G150" s="9"/>
    </row>
    <row r="151" spans="5:7" x14ac:dyDescent="0.25">
      <c r="E151" s="9"/>
      <c r="F151" s="9"/>
      <c r="G151" s="9"/>
    </row>
    <row r="152" spans="5:7" x14ac:dyDescent="0.25">
      <c r="E152" s="9"/>
      <c r="F152" s="9"/>
      <c r="G152" s="9"/>
    </row>
    <row r="153" spans="5:7" x14ac:dyDescent="0.25">
      <c r="E153" s="9"/>
      <c r="F153" s="9"/>
      <c r="G153" s="9"/>
    </row>
    <row r="154" spans="5:7" x14ac:dyDescent="0.25">
      <c r="E154" s="9"/>
      <c r="F154" s="9"/>
      <c r="G154" s="9"/>
    </row>
    <row r="155" spans="5:7" x14ac:dyDescent="0.25">
      <c r="E155" s="9"/>
      <c r="F155" s="9"/>
      <c r="G155" s="9"/>
    </row>
    <row r="156" spans="5:7" x14ac:dyDescent="0.25">
      <c r="E156" s="9"/>
      <c r="F156" s="9"/>
      <c r="G156" s="9"/>
    </row>
    <row r="157" spans="5:7" x14ac:dyDescent="0.25">
      <c r="E157" s="9"/>
      <c r="F157" s="9"/>
      <c r="G157" s="9"/>
    </row>
    <row r="158" spans="5:7" x14ac:dyDescent="0.25">
      <c r="E158" s="9"/>
      <c r="F158" s="9"/>
      <c r="G158" s="9"/>
    </row>
    <row r="159" spans="5:7" x14ac:dyDescent="0.25">
      <c r="E159" s="9"/>
      <c r="F159" s="9"/>
      <c r="G159" s="9"/>
    </row>
    <row r="160" spans="5:7" x14ac:dyDescent="0.25">
      <c r="E160" s="9"/>
      <c r="F160" s="9"/>
      <c r="G160" s="9"/>
    </row>
    <row r="161" spans="5:7" x14ac:dyDescent="0.25">
      <c r="E161" s="9"/>
      <c r="F161" s="9"/>
      <c r="G161" s="9"/>
    </row>
    <row r="162" spans="5:7" x14ac:dyDescent="0.25">
      <c r="E162" s="9"/>
      <c r="F162" s="9"/>
      <c r="G162" s="9"/>
    </row>
    <row r="163" spans="5:7" x14ac:dyDescent="0.25">
      <c r="E163" s="9"/>
      <c r="F163" s="9"/>
      <c r="G163" s="9"/>
    </row>
    <row r="164" spans="5:7" x14ac:dyDescent="0.25">
      <c r="E164" s="9"/>
      <c r="F164" s="9"/>
      <c r="G164" s="9"/>
    </row>
    <row r="165" spans="5:7" x14ac:dyDescent="0.25">
      <c r="E165" s="9"/>
      <c r="F165" s="9"/>
      <c r="G165" s="9"/>
    </row>
    <row r="166" spans="5:7" x14ac:dyDescent="0.25">
      <c r="E166" s="9"/>
      <c r="F166" s="9"/>
      <c r="G166" s="9"/>
    </row>
    <row r="167" spans="5:7" x14ac:dyDescent="0.25">
      <c r="E167" s="9"/>
      <c r="F167" s="9"/>
      <c r="G167" s="9"/>
    </row>
    <row r="168" spans="5:7" x14ac:dyDescent="0.25">
      <c r="E168" s="9"/>
      <c r="F168" s="9"/>
      <c r="G168" s="9"/>
    </row>
    <row r="169" spans="5:7" x14ac:dyDescent="0.25">
      <c r="E169" s="9"/>
      <c r="F169" s="9"/>
      <c r="G169" s="9"/>
    </row>
    <row r="170" spans="5:7" x14ac:dyDescent="0.25">
      <c r="E170" s="9"/>
      <c r="F170" s="9"/>
      <c r="G170" s="9"/>
    </row>
    <row r="171" spans="5:7" x14ac:dyDescent="0.25">
      <c r="E171" s="9"/>
      <c r="F171" s="9"/>
      <c r="G171" s="9"/>
    </row>
    <row r="172" spans="5:7" x14ac:dyDescent="0.25">
      <c r="E172" s="9"/>
      <c r="F172" s="9"/>
      <c r="G172" s="9"/>
    </row>
    <row r="173" spans="5:7" x14ac:dyDescent="0.25">
      <c r="E173" s="9"/>
      <c r="F173" s="9"/>
      <c r="G173" s="9"/>
    </row>
    <row r="174" spans="5:7" x14ac:dyDescent="0.25">
      <c r="E174" s="9"/>
      <c r="F174" s="9"/>
      <c r="G174" s="9"/>
    </row>
    <row r="175" spans="5:7" x14ac:dyDescent="0.25">
      <c r="E175" s="9"/>
      <c r="F175" s="9"/>
      <c r="G175" s="9"/>
    </row>
    <row r="176" spans="5:7" x14ac:dyDescent="0.25">
      <c r="E176" s="9"/>
      <c r="F176" s="9"/>
      <c r="G176" s="9"/>
    </row>
    <row r="177" spans="5:7" x14ac:dyDescent="0.25">
      <c r="E177" s="9"/>
      <c r="F177" s="9"/>
      <c r="G177" s="9"/>
    </row>
    <row r="178" spans="5:7" x14ac:dyDescent="0.25">
      <c r="E178" s="9"/>
      <c r="F178" s="9"/>
      <c r="G178" s="9"/>
    </row>
    <row r="179" spans="5:7" x14ac:dyDescent="0.25">
      <c r="E179" s="9"/>
      <c r="F179" s="9"/>
      <c r="G179" s="9"/>
    </row>
    <row r="180" spans="5:7" x14ac:dyDescent="0.25">
      <c r="E180" s="9"/>
      <c r="F180" s="9"/>
      <c r="G180" s="9"/>
    </row>
    <row r="181" spans="5:7" x14ac:dyDescent="0.25">
      <c r="E181" s="9"/>
      <c r="F181" s="9"/>
      <c r="G181" s="9"/>
    </row>
  </sheetData>
  <sortState xmlns:xlrd2="http://schemas.microsoft.com/office/spreadsheetml/2017/richdata2" ref="B6:D57">
    <sortCondition ref="D6:D57"/>
  </sortState>
  <mergeCells count="2">
    <mergeCell ref="C4:E4"/>
    <mergeCell ref="B2:G3"/>
  </mergeCells>
  <pageMargins left="0.7" right="0.7" top="0.75" bottom="0.75" header="0.3" footer="0.3"/>
  <pageSetup paperSize="0" orientation="portrait" horizontalDpi="0" verticalDpi="0" copies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E5DC0-E2F2-4E2F-8238-4F5ED0897B38}">
  <sheetPr codeName="Sheet4"/>
  <dimension ref="B1:G27"/>
  <sheetViews>
    <sheetView workbookViewId="0">
      <selection activeCell="I13" sqref="I13"/>
    </sheetView>
  </sheetViews>
  <sheetFormatPr defaultRowHeight="15" x14ac:dyDescent="0.25"/>
  <cols>
    <col min="1" max="1" width="9.140625" style="2"/>
    <col min="2" max="2" width="16.7109375" style="2" customWidth="1"/>
    <col min="3" max="3" width="41.5703125" style="2" customWidth="1"/>
    <col min="4" max="4" width="24.42578125" style="2" customWidth="1"/>
    <col min="5" max="5" width="13.5703125" style="2" customWidth="1"/>
    <col min="6" max="6" width="28.42578125" style="2" customWidth="1"/>
    <col min="7" max="7" width="18.85546875" style="2" customWidth="1"/>
    <col min="8" max="16384" width="9.140625" style="2"/>
  </cols>
  <sheetData>
    <row r="1" spans="2:7" ht="15" customHeight="1" x14ac:dyDescent="0.25">
      <c r="B1"/>
      <c r="C1"/>
      <c r="D1"/>
      <c r="E1"/>
      <c r="F1"/>
      <c r="G1"/>
    </row>
    <row r="2" spans="2:7" x14ac:dyDescent="0.25">
      <c r="B2" s="35" t="s">
        <v>101</v>
      </c>
      <c r="C2" s="36"/>
      <c r="D2" s="36"/>
      <c r="E2" s="36"/>
      <c r="F2" s="36"/>
      <c r="G2" s="36"/>
    </row>
    <row r="3" spans="2:7" x14ac:dyDescent="0.25">
      <c r="B3" s="36"/>
      <c r="C3" s="36"/>
      <c r="D3" s="36"/>
      <c r="E3" s="36"/>
      <c r="F3" s="36"/>
      <c r="G3" s="36"/>
    </row>
    <row r="4" spans="2:7" x14ac:dyDescent="0.25">
      <c r="C4" s="34" t="str">
        <f ca="1">" PROFIT AND LOSS AS ON "&amp;TEXT(TODAY(),"TT-MM-JJJJ")</f>
        <v xml:space="preserve"> PROFIT AND LOSS AS ON 25-03-2021</v>
      </c>
      <c r="D4" s="34"/>
      <c r="E4" s="34"/>
    </row>
    <row r="5" spans="2:7" x14ac:dyDescent="0.25">
      <c r="B5" s="2" t="s">
        <v>10</v>
      </c>
      <c r="C5" s="2" t="s">
        <v>93</v>
      </c>
      <c r="D5" s="2" t="s">
        <v>90</v>
      </c>
      <c r="E5" s="2" t="s">
        <v>12</v>
      </c>
      <c r="F5" s="2" t="s">
        <v>92</v>
      </c>
      <c r="G5" s="2" t="s">
        <v>91</v>
      </c>
    </row>
    <row r="6" spans="2:7" x14ac:dyDescent="0.25">
      <c r="C6" s="2" t="s">
        <v>39</v>
      </c>
      <c r="D6" s="14">
        <v>991000</v>
      </c>
      <c r="F6" s="2" t="s">
        <v>21</v>
      </c>
      <c r="G6" s="2">
        <f>SUMIF('TRIAL BALANCE'!B6:B5001,Table3[[#This Row],[PARTICULARS(INCOME)]],'TRIAL BALANCE'!G6:G5001)</f>
        <v>100055</v>
      </c>
    </row>
    <row r="7" spans="2:7" x14ac:dyDescent="0.25">
      <c r="C7" s="2" t="s">
        <v>20</v>
      </c>
      <c r="D7" s="14">
        <f>SUMIF('TRIAL BALANCE'!B6:B5001,Table3[[#This Row],[PARTICULARS(EXPENSES)]],'TRIAL BALANCE'!G6:G5001)</f>
        <v>78</v>
      </c>
      <c r="F7" s="2" t="s">
        <v>40</v>
      </c>
      <c r="G7" s="2">
        <v>878</v>
      </c>
    </row>
    <row r="8" spans="2:7" x14ac:dyDescent="0.25">
      <c r="C8" s="10" t="str">
        <f>IF(SUM(D6:D7)&gt;SUM(G6:G7),"GROSS PROFIT","")</f>
        <v>GROSS PROFIT</v>
      </c>
      <c r="D8" s="14">
        <f>IF(SUM(D6:D7)&gt;SUM(G6:G7),SUM(D6:D7)-SUM(G6:G7),"")</f>
        <v>890145</v>
      </c>
      <c r="F8" s="10" t="str">
        <f>IF(SUM(D6:D7)&lt;SUM(G6:G7),"GROSS LOSS","")</f>
        <v/>
      </c>
      <c r="G8" s="2" t="str">
        <f>IF(SUM(D6:D7)&lt;SUM(G6:G7),SUM(G6:G7)-SUM(D6:D7),"")</f>
        <v/>
      </c>
    </row>
    <row r="9" spans="2:7" x14ac:dyDescent="0.25">
      <c r="C9" s="2" t="str">
        <f>IF(G8="","",F8)</f>
        <v/>
      </c>
      <c r="D9" s="14" t="str">
        <f>IF(G8="","",G8)</f>
        <v/>
      </c>
      <c r="F9" s="2" t="str">
        <f>IF(D8="","",C8)</f>
        <v>GROSS PROFIT</v>
      </c>
      <c r="G9" s="2">
        <f>IF(D8="","",D8)</f>
        <v>890145</v>
      </c>
    </row>
    <row r="10" spans="2:7" x14ac:dyDescent="0.25">
      <c r="C10" s="2" t="s">
        <v>89</v>
      </c>
      <c r="D10" s="14">
        <v>900</v>
      </c>
      <c r="F10" s="2" t="s">
        <v>42</v>
      </c>
      <c r="G10" s="2">
        <f>SUMIF('TRIAL BALANCE'!$B$6:$B$5001,Table3[[#This Row],[PARTICULARS(INCOME)]],'TRIAL BALANCE'!$G$6:$G$5001)</f>
        <v>0</v>
      </c>
    </row>
    <row r="11" spans="2:7" x14ac:dyDescent="0.25">
      <c r="C11" s="2" t="s">
        <v>48</v>
      </c>
      <c r="D11" s="14">
        <f>SUMIF('TRIAL BALANCE'!$B$6:$B$5001,Table3[[#This Row],[PARTICULARS(EXPENSES)]],'TRIAL BALANCE'!$G$6:$G$5001)</f>
        <v>78</v>
      </c>
      <c r="F11" s="2" t="s">
        <v>63</v>
      </c>
      <c r="G11" s="2">
        <f>SUMIF('TRIAL BALANCE'!$B$6:$B$5001,Table3[[#This Row],[PARTICULARS(INCOME)]],'TRIAL BALANCE'!$G$6:$G$5001)</f>
        <v>0</v>
      </c>
    </row>
    <row r="12" spans="2:7" x14ac:dyDescent="0.25">
      <c r="C12" s="2" t="s">
        <v>47</v>
      </c>
      <c r="D12" s="14">
        <f>SUMIF('TRIAL BALANCE'!$B$6:$B$5001,Table3[[#This Row],[PARTICULARS(EXPENSES)]],'TRIAL BALANCE'!$G$6:$G$5001)</f>
        <v>55</v>
      </c>
      <c r="G12" s="2">
        <f>SUMIF('TRIAL BALANCE'!$B$6:$B$5001,Table3[[#This Row],[PARTICULARS(INCOME)]],'TRIAL BALANCE'!$G$6:$G$5001)</f>
        <v>0</v>
      </c>
    </row>
    <row r="13" spans="2:7" x14ac:dyDescent="0.25">
      <c r="C13" s="2" t="s">
        <v>50</v>
      </c>
      <c r="D13" s="14">
        <f>SUMIF('TRIAL BALANCE'!$B$6:$B$5001,Table3[[#This Row],[PARTICULARS(EXPENSES)]],'TRIAL BALANCE'!$G$6:$G$5001)</f>
        <v>5</v>
      </c>
      <c r="G13" s="2">
        <f>SUMIF('TRIAL BALANCE'!$B$6:$B$5001,Table3[[#This Row],[PARTICULARS(INCOME)]],'TRIAL BALANCE'!$G$6:$G$5001)</f>
        <v>0</v>
      </c>
    </row>
    <row r="14" spans="2:7" x14ac:dyDescent="0.25">
      <c r="D14" s="14">
        <f>SUMIF('TRIAL BALANCE'!$B$6:$B$5001,Table3[[#This Row],[PARTICULARS(EXPENSES)]],'TRIAL BALANCE'!$G$6:$G$5001)</f>
        <v>0</v>
      </c>
      <c r="G14" s="2">
        <f>SUMIF('TRIAL BALANCE'!$B$6:$B$5001,Table3[[#This Row],[PARTICULARS(INCOME)]],'TRIAL BALANCE'!$G$6:$G$5001)</f>
        <v>0</v>
      </c>
    </row>
    <row r="15" spans="2:7" x14ac:dyDescent="0.25">
      <c r="D15" s="14">
        <f>SUMIF('TRIAL BALANCE'!$B$6:$B$5001,Table3[[#This Row],[PARTICULARS(EXPENSES)]],'TRIAL BALANCE'!$G$6:$G$5001)</f>
        <v>0</v>
      </c>
      <c r="G15" s="2">
        <f>SUMIF('TRIAL BALANCE'!$B$6:$B$5001,Table3[[#This Row],[PARTICULARS(INCOME)]],'TRIAL BALANCE'!$G$6:$G$5001)</f>
        <v>0</v>
      </c>
    </row>
    <row r="16" spans="2:7" x14ac:dyDescent="0.25">
      <c r="D16" s="14">
        <f>SUMIF('TRIAL BALANCE'!$B$6:$B$5001,Table3[[#This Row],[PARTICULARS(EXPENSES)]],'TRIAL BALANCE'!$G$6:$G$5001)</f>
        <v>0</v>
      </c>
      <c r="G16" s="2">
        <f>SUMIF('TRIAL BALANCE'!$B$6:$B$5001,Table3[[#This Row],[PARTICULARS(INCOME)]],'TRIAL BALANCE'!$G$6:$G$5001)</f>
        <v>0</v>
      </c>
    </row>
    <row r="17" spans="3:7" x14ac:dyDescent="0.25">
      <c r="D17" s="14">
        <f>SUMIF('TRIAL BALANCE'!$B$6:$B$5001,Table3[[#This Row],[PARTICULARS(EXPENSES)]],'TRIAL BALANCE'!$G$6:$G$5001)</f>
        <v>0</v>
      </c>
      <c r="G17" s="2">
        <f>SUMIF('TRIAL BALANCE'!$B$6:$B$5001,Table3[[#This Row],[PARTICULARS(INCOME)]],'TRIAL BALANCE'!$G$6:$G$5001)</f>
        <v>0</v>
      </c>
    </row>
    <row r="18" spans="3:7" x14ac:dyDescent="0.25">
      <c r="D18" s="14">
        <f>SUMIF('TRIAL BALANCE'!$B$6:$B$5001,Table3[[#This Row],[PARTICULARS(EXPENSES)]],'TRIAL BALANCE'!$G$6:$G$5001)</f>
        <v>0</v>
      </c>
      <c r="G18" s="2">
        <f>SUMIF('TRIAL BALANCE'!$B$6:$B$5001,Table3[[#This Row],[PARTICULARS(INCOME)]],'TRIAL BALANCE'!$G$6:$G$5001)</f>
        <v>0</v>
      </c>
    </row>
    <row r="19" spans="3:7" x14ac:dyDescent="0.25">
      <c r="D19" s="14">
        <f>SUMIF('TRIAL BALANCE'!$B$6:$B$5001,Table3[[#This Row],[PARTICULARS(EXPENSES)]],'TRIAL BALANCE'!$G$6:$G$5001)</f>
        <v>0</v>
      </c>
      <c r="G19" s="2">
        <f>SUMIF('TRIAL BALANCE'!$B$6:$B$5001,Table3[[#This Row],[PARTICULARS(INCOME)]],'TRIAL BALANCE'!$G$6:$G$5001)</f>
        <v>0</v>
      </c>
    </row>
    <row r="20" spans="3:7" x14ac:dyDescent="0.25">
      <c r="D20" s="14">
        <f>SUMIF('TRIAL BALANCE'!$B$6:$B$5001,Table3[[#This Row],[PARTICULARS(EXPENSES)]],'TRIAL BALANCE'!$G$6:$G$5001)</f>
        <v>0</v>
      </c>
      <c r="G20" s="2">
        <f>SUMIF('TRIAL BALANCE'!$B$6:$B$5001,Table3[[#This Row],[PARTICULARS(INCOME)]],'TRIAL BALANCE'!$G$6:$G$5001)</f>
        <v>0</v>
      </c>
    </row>
    <row r="21" spans="3:7" x14ac:dyDescent="0.25">
      <c r="D21" s="14">
        <f>SUMIF('TRIAL BALANCE'!$B$6:$B$5001,Table3[[#This Row],[PARTICULARS(EXPENSES)]],'TRIAL BALANCE'!$G$6:$G$5001)</f>
        <v>0</v>
      </c>
      <c r="G21" s="2">
        <f>SUMIF('TRIAL BALANCE'!$B$6:$B$5001,Table3[[#This Row],[PARTICULARS(INCOME)]],'TRIAL BALANCE'!$G$6:$G$5001)</f>
        <v>0</v>
      </c>
    </row>
    <row r="22" spans="3:7" x14ac:dyDescent="0.25">
      <c r="D22" s="14">
        <f>SUMIF('TRIAL BALANCE'!$B$6:$B$5001,Table3[[#This Row],[PARTICULARS(EXPENSES)]],'TRIAL BALANCE'!$G$6:$G$5001)</f>
        <v>0</v>
      </c>
      <c r="G22" s="2">
        <f>SUMIF('TRIAL BALANCE'!$B$6:$B$5001,Table3[[#This Row],[PARTICULARS(INCOME)]],'TRIAL BALANCE'!$G$6:$G$5001)</f>
        <v>0</v>
      </c>
    </row>
    <row r="23" spans="3:7" x14ac:dyDescent="0.25">
      <c r="D23" s="14">
        <f>SUMIF('TRIAL BALANCE'!$B$6:$B$5001,Table3[[#This Row],[PARTICULARS(EXPENSES)]],'TRIAL BALANCE'!$G$6:$G$5001)</f>
        <v>0</v>
      </c>
      <c r="G23" s="2">
        <f>SUMIF('TRIAL BALANCE'!$B$6:$B$5001,Table3[[#This Row],[PARTICULARS(INCOME)]],'TRIAL BALANCE'!$G$6:$G$5001)</f>
        <v>0</v>
      </c>
    </row>
    <row r="24" spans="3:7" x14ac:dyDescent="0.25">
      <c r="D24" s="14">
        <f>SUMIF('TRIAL BALANCE'!$B$6:$B$5001,Table3[[#This Row],[PARTICULARS(EXPENSES)]],'TRIAL BALANCE'!$G$6:$G$5001)</f>
        <v>0</v>
      </c>
      <c r="G24" s="2">
        <f>SUMIF('TRIAL BALANCE'!$B$6:$B$5001,Table3[[#This Row],[PARTICULARS(INCOME)]],'TRIAL BALANCE'!$G$6:$G$5001)</f>
        <v>0</v>
      </c>
    </row>
    <row r="25" spans="3:7" x14ac:dyDescent="0.25">
      <c r="D25" s="14">
        <f>SUMIF('TRIAL BALANCE'!$B$6:$B$5001,Table3[[#This Row],[PARTICULARS(EXPENSES)]],'TRIAL BALANCE'!$G$6:$G$5001)</f>
        <v>0</v>
      </c>
      <c r="G25" s="2">
        <f>SUMIF('TRIAL BALANCE'!$B$6:$B$5001,Table3[[#This Row],[PARTICULARS(INCOME)]],'TRIAL BALANCE'!$G$6:$G$5001)</f>
        <v>0</v>
      </c>
    </row>
    <row r="26" spans="3:7" x14ac:dyDescent="0.25">
      <c r="D26" s="14">
        <f>SUMIF('TRIAL BALANCE'!$B$6:$B$5001,Table3[[#This Row],[PARTICULARS(EXPENSES)]],'TRIAL BALANCE'!$G$6:$G$5001)</f>
        <v>0</v>
      </c>
      <c r="G26" s="2">
        <f>SUMIF('TRIAL BALANCE'!$B$6:$B$5001,Table3[[#This Row],[PARTICULARS(INCOME)]],'TRIAL BALANCE'!$G$6:$G$5001)</f>
        <v>0</v>
      </c>
    </row>
    <row r="27" spans="3:7" x14ac:dyDescent="0.25">
      <c r="C27" s="2" t="str">
        <f>IF(Table3[[#This Row],[AMOUNT(DR)]]="","","NET PROFIT")</f>
        <v>NET PROFIT</v>
      </c>
      <c r="D27" s="14">
        <f>IF(SUM(G9:G26)&gt;SUM(D9:D26),SUM(G9:G26)-SUM(D9:D26),"")</f>
        <v>889107</v>
      </c>
      <c r="F27" s="2" t="str">
        <f>IF(Table3[[#This Row],[AMOUNT(CR)]]="","","NET LOSS")</f>
        <v/>
      </c>
      <c r="G27" s="2" t="str">
        <f>IF(SUM(D9:D26)&gt;SUM(G9:G26),SUM(D9:D26)-SUM(G9:G26),"")</f>
        <v/>
      </c>
    </row>
  </sheetData>
  <mergeCells count="2">
    <mergeCell ref="C4:E4"/>
    <mergeCell ref="B2:G3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A907D8-6A41-4DEF-AAA0-48B30094E607}">
          <x14:formula1>
            <xm:f>'TRIAL BALANCE'!$B$6:$B$57</xm:f>
          </x14:formula1>
          <xm:sqref>C11:C26</xm:sqref>
        </x14:dataValidation>
        <x14:dataValidation type="list" allowBlank="1" showInputMessage="1" showErrorMessage="1" xr:uid="{F2578981-7002-4C25-AFD8-4E515E4D3370}">
          <x14:formula1>
            <xm:f>'TRIAL BALANCE'!$B$6:$B$61</xm:f>
          </x14:formula1>
          <xm:sqref>F10:F26 C6:C7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4976-A22A-4951-B4CC-45B716342903}">
  <sheetPr codeName="Sheet5"/>
  <dimension ref="B2:G83"/>
  <sheetViews>
    <sheetView workbookViewId="0">
      <selection activeCell="J11" sqref="J11"/>
    </sheetView>
  </sheetViews>
  <sheetFormatPr defaultRowHeight="15" x14ac:dyDescent="0.25"/>
  <cols>
    <col min="2" max="2" width="41" customWidth="1"/>
    <col min="3" max="3" width="19" customWidth="1"/>
    <col min="4" max="4" width="14.7109375" customWidth="1"/>
    <col min="5" max="5" width="37" customWidth="1"/>
    <col min="6" max="6" width="18.5703125" customWidth="1"/>
    <col min="7" max="7" width="14.140625" customWidth="1"/>
  </cols>
  <sheetData>
    <row r="2" spans="2:7" x14ac:dyDescent="0.25">
      <c r="B2" s="35" t="s">
        <v>100</v>
      </c>
      <c r="C2" s="37"/>
      <c r="D2" s="37"/>
      <c r="E2" s="37"/>
      <c r="F2" s="37"/>
      <c r="G2" s="37"/>
    </row>
    <row r="3" spans="2:7" x14ac:dyDescent="0.25">
      <c r="B3" s="37"/>
      <c r="C3" s="38"/>
      <c r="D3" s="38"/>
      <c r="E3" s="38"/>
      <c r="F3" s="37"/>
      <c r="G3" s="37"/>
    </row>
    <row r="4" spans="2:7" x14ac:dyDescent="0.25">
      <c r="C4" s="31" t="str">
        <f ca="1">" BALANCE SHEET AS ON "&amp;TEXT(TODAY(),"TT-MM-JJJJ")</f>
        <v xml:space="preserve"> BALANCE SHEET AS ON 25-03-2021</v>
      </c>
      <c r="D4" s="31"/>
      <c r="E4" s="31"/>
    </row>
    <row r="5" spans="2:7" ht="23.25" x14ac:dyDescent="0.35">
      <c r="B5" s="15" t="s">
        <v>13</v>
      </c>
      <c r="C5" s="15" t="s">
        <v>11</v>
      </c>
      <c r="D5" s="15" t="s">
        <v>94</v>
      </c>
      <c r="E5" s="15" t="s">
        <v>14</v>
      </c>
      <c r="F5" s="15" t="s">
        <v>96</v>
      </c>
      <c r="G5" s="15" t="s">
        <v>95</v>
      </c>
    </row>
    <row r="6" spans="2:7" ht="23.25" x14ac:dyDescent="0.35">
      <c r="B6" s="16" t="s">
        <v>16</v>
      </c>
      <c r="C6" s="15">
        <v>5000000</v>
      </c>
      <c r="D6" s="15"/>
      <c r="E6" s="15"/>
      <c r="F6" s="15"/>
      <c r="G6" s="18">
        <v>7</v>
      </c>
    </row>
    <row r="7" spans="2:7" x14ac:dyDescent="0.25">
      <c r="B7" s="17" t="s">
        <v>38</v>
      </c>
      <c r="C7" s="17">
        <f ca="1">SUMIF('TRIAL BALANCE'!B6:B5010,B7,'TRIAL BALANCE'!G6:G5000)</f>
        <v>-10000</v>
      </c>
      <c r="D7" s="17"/>
      <c r="E7" s="17"/>
      <c r="F7" s="17"/>
      <c r="G7" s="19"/>
    </row>
    <row r="8" spans="2:7" x14ac:dyDescent="0.25">
      <c r="B8" s="17"/>
      <c r="C8" s="17">
        <f ca="1">C6+C7</f>
        <v>4990000</v>
      </c>
      <c r="D8" s="17"/>
      <c r="E8" s="17"/>
      <c r="F8" s="17"/>
      <c r="G8" s="19"/>
    </row>
    <row r="9" spans="2:7" x14ac:dyDescent="0.25">
      <c r="B9" s="17" t="str">
        <f>IF('PROFIT AND LOSS'!C27="","NET LOSS","NET PROFIT")</f>
        <v>NET PROFIT</v>
      </c>
      <c r="C9" s="17">
        <f>IF('BALANCE SHEET'!B9='PROFIT AND LOSS'!C27,'PROFIT AND LOSS'!D27,'PROFIT AND LOSS'!G27)</f>
        <v>889107</v>
      </c>
      <c r="D9" s="17">
        <f>SUM(C9)</f>
        <v>889107</v>
      </c>
      <c r="E9" s="17"/>
      <c r="F9" s="17"/>
      <c r="G9" s="19"/>
    </row>
    <row r="10" spans="2:7" x14ac:dyDescent="0.25">
      <c r="B10" s="17"/>
      <c r="C10" s="17">
        <f ca="1">SUMIF(Table4[[#Totals],[LIABILITIES]]:B5010,B7,'TRIAL BALANCE'!G6:G5000)</f>
        <v>0</v>
      </c>
      <c r="D10" s="17"/>
      <c r="E10" s="17" t="s">
        <v>97</v>
      </c>
      <c r="F10" s="17"/>
      <c r="G10" s="19"/>
    </row>
    <row r="11" spans="2:7" x14ac:dyDescent="0.25">
      <c r="C11" s="17">
        <f ca="1">SUMIF(Table4[[#Totals],[LIABILITIES]]:B5011,B8,'TRIAL BALANCE'!G7:G5001)</f>
        <v>0</v>
      </c>
      <c r="E11" t="s">
        <v>17</v>
      </c>
      <c r="F11" s="17">
        <f ca="1">SUMIF('TRIAL BALANCE'!B6:B5010,E11,'TRIAL BALANCE'!G6:G5000)</f>
        <v>100100</v>
      </c>
      <c r="G11" s="13"/>
    </row>
    <row r="12" spans="2:7" x14ac:dyDescent="0.25">
      <c r="C12" s="17">
        <f ca="1">SUMIF(Table4[[#Totals],[LIABILITIES]]:B5012,B9,'TRIAL BALANCE'!G8:G5002)</f>
        <v>0</v>
      </c>
      <c r="F12" s="17">
        <f ca="1">SUMIF('TRIAL BALANCE'!B7:B5011,E12,'TRIAL BALANCE'!G7:G5001)</f>
        <v>0</v>
      </c>
      <c r="G12" s="13"/>
    </row>
    <row r="13" spans="2:7" x14ac:dyDescent="0.25">
      <c r="C13" s="17">
        <f ca="1">SUMIF(Table4[[#Totals],[LIABILITIES]]:B5013,#REF!,'TRIAL BALANCE'!G9:G5003)</f>
        <v>0</v>
      </c>
      <c r="F13" s="17">
        <f ca="1">SUMIF('TRIAL BALANCE'!B8:B5012,E13,'TRIAL BALANCE'!G8:G5002)</f>
        <v>0</v>
      </c>
      <c r="G13" s="13"/>
    </row>
    <row r="14" spans="2:7" x14ac:dyDescent="0.25">
      <c r="C14" s="17">
        <f ca="1">SUMIF(Table4[[#Totals],[LIABILITIES]]:B5014,B10,'TRIAL BALANCE'!G10:G5004)</f>
        <v>0</v>
      </c>
      <c r="F14" s="17">
        <f ca="1">SUMIF('TRIAL BALANCE'!B9:B5013,E14,'TRIAL BALANCE'!G9:G5003)</f>
        <v>0</v>
      </c>
      <c r="G14" s="13"/>
    </row>
    <row r="15" spans="2:7" x14ac:dyDescent="0.25">
      <c r="C15" s="17">
        <f ca="1">SUMIF(Table4[[#Totals],[LIABILITIES]]:B5015,B11,'TRIAL BALANCE'!G11:G5005)</f>
        <v>0</v>
      </c>
      <c r="F15" s="17">
        <f ca="1">SUMIF('TRIAL BALANCE'!B10:B5014,E15,'TRIAL BALANCE'!G10:G5004)</f>
        <v>0</v>
      </c>
      <c r="G15" s="13"/>
    </row>
    <row r="16" spans="2:7" x14ac:dyDescent="0.25">
      <c r="C16" s="17">
        <f ca="1">SUMIF(Table4[[#Totals],[LIABILITIES]]:B5016,B12,'TRIAL BALANCE'!G12:G5006)</f>
        <v>0</v>
      </c>
      <c r="F16" s="17">
        <f ca="1">SUMIF('TRIAL BALANCE'!B11:B5015,E16,'TRIAL BALANCE'!G11:G5005)</f>
        <v>0</v>
      </c>
      <c r="G16" s="13"/>
    </row>
    <row r="17" spans="3:7" x14ac:dyDescent="0.25">
      <c r="C17" s="17">
        <f ca="1">SUMIF(Table4[[#Totals],[LIABILITIES]]:B5017,B13,'TRIAL BALANCE'!G13:G5007)</f>
        <v>0</v>
      </c>
      <c r="F17" s="17">
        <f ca="1">SUMIF('TRIAL BALANCE'!B12:B5016,E17,'TRIAL BALANCE'!G12:G5006)</f>
        <v>0</v>
      </c>
      <c r="G17" s="13"/>
    </row>
    <row r="18" spans="3:7" x14ac:dyDescent="0.25">
      <c r="C18" s="17">
        <f ca="1">SUMIF(Table4[[#Totals],[LIABILITIES]]:B5018,B14,'TRIAL BALANCE'!G14:G5008)</f>
        <v>0</v>
      </c>
      <c r="F18" s="17">
        <f ca="1">SUMIF('TRIAL BALANCE'!B13:B5017,E18,'TRIAL BALANCE'!G13:G5007)</f>
        <v>0</v>
      </c>
      <c r="G18" s="13"/>
    </row>
    <row r="19" spans="3:7" x14ac:dyDescent="0.25">
      <c r="C19" s="17">
        <f ca="1">SUMIF(Table4[[#Totals],[LIABILITIES]]:B5019,B15,'TRIAL BALANCE'!G15:G5009)</f>
        <v>0</v>
      </c>
      <c r="F19" s="17">
        <f ca="1">SUMIF('TRIAL BALANCE'!B14:B5018,E19,'TRIAL BALANCE'!G14:G5008)</f>
        <v>0</v>
      </c>
      <c r="G19" s="13"/>
    </row>
    <row r="20" spans="3:7" x14ac:dyDescent="0.25">
      <c r="C20" s="17">
        <f ca="1">SUMIF(Table4[[#Totals],[LIABILITIES]]:B5020,B16,'TRIAL BALANCE'!G16:G5010)</f>
        <v>0</v>
      </c>
      <c r="F20" s="17">
        <f ca="1">SUMIF('TRIAL BALANCE'!B15:B5019,E20,'TRIAL BALANCE'!G15:G5009)</f>
        <v>0</v>
      </c>
      <c r="G20" s="13"/>
    </row>
    <row r="21" spans="3:7" x14ac:dyDescent="0.25">
      <c r="C21" s="17">
        <f ca="1">SUMIF(Table4[[#Totals],[LIABILITIES]]:B5021,B17,'TRIAL BALANCE'!G17:G5011)</f>
        <v>0</v>
      </c>
      <c r="F21" s="17">
        <f ca="1">SUMIF('TRIAL BALANCE'!B16:B5020,E21,'TRIAL BALANCE'!G16:G5010)</f>
        <v>0</v>
      </c>
      <c r="G21" s="13"/>
    </row>
    <row r="22" spans="3:7" x14ac:dyDescent="0.25">
      <c r="C22" s="17">
        <f ca="1">SUMIF(Table4[[#Totals],[LIABILITIES]]:B5022,B18,'TRIAL BALANCE'!G18:G5012)</f>
        <v>0</v>
      </c>
      <c r="F22" s="17">
        <f ca="1">SUMIF('TRIAL BALANCE'!B17:B5021,E22,'TRIAL BALANCE'!G17:G5011)</f>
        <v>0</v>
      </c>
      <c r="G22" s="13"/>
    </row>
    <row r="23" spans="3:7" x14ac:dyDescent="0.25">
      <c r="C23" s="17">
        <f ca="1">SUMIF(Table4[[#Totals],[LIABILITIES]]:B5023,B19,'TRIAL BALANCE'!G19:G5013)</f>
        <v>0</v>
      </c>
      <c r="F23" s="17">
        <f ca="1">SUMIF('TRIAL BALANCE'!B18:B5022,E23,'TRIAL BALANCE'!G18:G5012)</f>
        <v>0</v>
      </c>
      <c r="G23" s="13"/>
    </row>
    <row r="24" spans="3:7" x14ac:dyDescent="0.25">
      <c r="C24" s="17">
        <f ca="1">SUMIF(Table4[[#Totals],[LIABILITIES]]:B5024,B20,'TRIAL BALANCE'!G20:G5014)</f>
        <v>0</v>
      </c>
      <c r="F24" s="17">
        <f ca="1">SUMIF('TRIAL BALANCE'!B19:B5023,E24,'TRIAL BALANCE'!G19:G5013)</f>
        <v>0</v>
      </c>
      <c r="G24" s="13"/>
    </row>
    <row r="25" spans="3:7" x14ac:dyDescent="0.25">
      <c r="C25" s="17">
        <f ca="1">SUMIF(Table4[[#Totals],[LIABILITIES]]:B5025,B21,'TRIAL BALANCE'!G21:G5015)</f>
        <v>0</v>
      </c>
      <c r="F25" s="17">
        <f ca="1">SUMIF('TRIAL BALANCE'!B20:B5024,E25,'TRIAL BALANCE'!G20:G5014)</f>
        <v>0</v>
      </c>
      <c r="G25" s="13"/>
    </row>
    <row r="26" spans="3:7" x14ac:dyDescent="0.25">
      <c r="C26" s="17">
        <f ca="1">SUMIF(Table4[[#Totals],[LIABILITIES]]:B5026,B22,'TRIAL BALANCE'!G22:G5016)</f>
        <v>0</v>
      </c>
      <c r="F26" s="17">
        <f ca="1">SUMIF('TRIAL BALANCE'!B21:B5025,E26,'TRIAL BALANCE'!G21:G5015)</f>
        <v>0</v>
      </c>
      <c r="G26" s="13"/>
    </row>
    <row r="27" spans="3:7" x14ac:dyDescent="0.25">
      <c r="C27" s="17">
        <f ca="1">SUMIF(Table4[[#Totals],[LIABILITIES]]:B5027,B23,'TRIAL BALANCE'!G23:G5017)</f>
        <v>0</v>
      </c>
      <c r="F27" s="17">
        <f ca="1">SUMIF('TRIAL BALANCE'!B22:B5026,E27,'TRIAL BALANCE'!G22:G5016)</f>
        <v>0</v>
      </c>
      <c r="G27" s="13"/>
    </row>
    <row r="28" spans="3:7" x14ac:dyDescent="0.25">
      <c r="C28" s="17">
        <f ca="1">SUMIF(Table4[[#Totals],[LIABILITIES]]:B5028,B24,'TRIAL BALANCE'!G24:G5018)</f>
        <v>0</v>
      </c>
      <c r="F28" s="17">
        <f ca="1">SUMIF('TRIAL BALANCE'!B23:B5027,E28,'TRIAL BALANCE'!G23:G5017)</f>
        <v>0</v>
      </c>
      <c r="G28" s="13"/>
    </row>
    <row r="29" spans="3:7" x14ac:dyDescent="0.25">
      <c r="C29" s="17">
        <f ca="1">SUMIF(Table4[[#Totals],[LIABILITIES]]:B5029,B25,'TRIAL BALANCE'!G25:G5019)</f>
        <v>0</v>
      </c>
      <c r="F29" s="17">
        <f ca="1">SUMIF('TRIAL BALANCE'!B24:B5028,E29,'TRIAL BALANCE'!G24:G5018)</f>
        <v>0</v>
      </c>
      <c r="G29" s="13"/>
    </row>
    <row r="30" spans="3:7" x14ac:dyDescent="0.25">
      <c r="C30" s="17">
        <f ca="1">SUMIF(Table4[[#Totals],[LIABILITIES]]:B5030,B26,'TRIAL BALANCE'!G26:G5020)</f>
        <v>0</v>
      </c>
      <c r="F30" s="17">
        <f ca="1">SUMIF('TRIAL BALANCE'!B25:B5029,E30,'TRIAL BALANCE'!G25:G5019)</f>
        <v>0</v>
      </c>
      <c r="G30" s="13"/>
    </row>
    <row r="31" spans="3:7" x14ac:dyDescent="0.25">
      <c r="C31" s="17">
        <f ca="1">SUMIF(Table4[[#Totals],[LIABILITIES]]:B5031,B27,'TRIAL BALANCE'!G27:G5021)</f>
        <v>0</v>
      </c>
      <c r="F31" s="17">
        <f ca="1">SUMIF('TRIAL BALANCE'!B26:B5030,E31,'TRIAL BALANCE'!G26:G5020)</f>
        <v>0</v>
      </c>
      <c r="G31" s="13"/>
    </row>
    <row r="32" spans="3:7" x14ac:dyDescent="0.25">
      <c r="C32" s="17">
        <f ca="1">SUMIF(Table4[[#Totals],[LIABILITIES]]:B5032,B28,'TRIAL BALANCE'!G28:G5022)</f>
        <v>0</v>
      </c>
      <c r="F32" s="17">
        <f ca="1">SUMIF('TRIAL BALANCE'!B27:B5031,E32,'TRIAL BALANCE'!G27:G5021)</f>
        <v>0</v>
      </c>
      <c r="G32" s="13"/>
    </row>
    <row r="33" spans="3:7" x14ac:dyDescent="0.25">
      <c r="C33" s="17">
        <f ca="1">SUMIF(Table4[[#Totals],[LIABILITIES]]:B5033,B29,'TRIAL BALANCE'!G29:G5023)</f>
        <v>0</v>
      </c>
      <c r="F33" s="17">
        <f ca="1">SUMIF('TRIAL BALANCE'!B28:B5032,E33,'TRIAL BALANCE'!G28:G5022)</f>
        <v>0</v>
      </c>
      <c r="G33" s="13"/>
    </row>
    <row r="34" spans="3:7" x14ac:dyDescent="0.25">
      <c r="C34" s="17">
        <f ca="1">SUMIF(Table4[[#Totals],[LIABILITIES]]:B5034,B30,'TRIAL BALANCE'!G30:G5024)</f>
        <v>0</v>
      </c>
      <c r="F34" s="17">
        <f ca="1">SUMIF('TRIAL BALANCE'!B29:B5033,E34,'TRIAL BALANCE'!G29:G5023)</f>
        <v>0</v>
      </c>
      <c r="G34" s="13"/>
    </row>
    <row r="35" spans="3:7" x14ac:dyDescent="0.25">
      <c r="C35" s="17">
        <f ca="1">SUMIF(Table4[[#Totals],[LIABILITIES]]:B5035,B31,'TRIAL BALANCE'!G31:G5025)</f>
        <v>0</v>
      </c>
      <c r="F35" s="17">
        <f ca="1">SUMIF('TRIAL BALANCE'!B30:B5034,E35,'TRIAL BALANCE'!G30:G5024)</f>
        <v>0</v>
      </c>
      <c r="G35" s="13"/>
    </row>
    <row r="36" spans="3:7" x14ac:dyDescent="0.25">
      <c r="C36" s="17">
        <f ca="1">SUMIF(Table4[[#Totals],[LIABILITIES]]:B5036,B32,'TRIAL BALANCE'!G32:G5026)</f>
        <v>0</v>
      </c>
      <c r="F36" s="17">
        <f ca="1">SUMIF('TRIAL BALANCE'!B31:B5035,E36,'TRIAL BALANCE'!G31:G5025)</f>
        <v>0</v>
      </c>
      <c r="G36" s="13"/>
    </row>
    <row r="37" spans="3:7" x14ac:dyDescent="0.25">
      <c r="C37" s="17">
        <f ca="1">SUMIF(Table4[[#Totals],[LIABILITIES]]:B5037,B33,'TRIAL BALANCE'!G33:G5027)</f>
        <v>0</v>
      </c>
      <c r="F37" s="17">
        <f ca="1">SUMIF('TRIAL BALANCE'!B32:B5036,E37,'TRIAL BALANCE'!G32:G5026)</f>
        <v>0</v>
      </c>
      <c r="G37" s="13"/>
    </row>
    <row r="38" spans="3:7" x14ac:dyDescent="0.25">
      <c r="C38" s="17">
        <f ca="1">SUMIF(Table4[[#Totals],[LIABILITIES]]:B5038,B34,'TRIAL BALANCE'!G34:G5028)</f>
        <v>0</v>
      </c>
      <c r="F38" s="17">
        <f ca="1">SUMIF('TRIAL BALANCE'!B33:B5037,E38,'TRIAL BALANCE'!G33:G5027)</f>
        <v>0</v>
      </c>
      <c r="G38" s="13"/>
    </row>
    <row r="39" spans="3:7" x14ac:dyDescent="0.25">
      <c r="C39" s="17">
        <f ca="1">SUMIF(Table4[[#Totals],[LIABILITIES]]:B5039,B35,'TRIAL BALANCE'!G35:G5029)</f>
        <v>0</v>
      </c>
      <c r="F39" s="17">
        <f ca="1">SUMIF('TRIAL BALANCE'!B34:B5038,E39,'TRIAL BALANCE'!G34:G5028)</f>
        <v>0</v>
      </c>
      <c r="G39" s="13"/>
    </row>
    <row r="40" spans="3:7" x14ac:dyDescent="0.25">
      <c r="C40" s="17">
        <f ca="1">SUMIF(Table4[[#Totals],[LIABILITIES]]:B5040,B36,'TRIAL BALANCE'!G36:G5030)</f>
        <v>0</v>
      </c>
      <c r="F40" s="17">
        <f ca="1">SUMIF('TRIAL BALANCE'!B35:B5039,E40,'TRIAL BALANCE'!G35:G5029)</f>
        <v>0</v>
      </c>
      <c r="G40" s="13"/>
    </row>
    <row r="41" spans="3:7" x14ac:dyDescent="0.25">
      <c r="C41" s="17">
        <f ca="1">SUMIF(Table4[[#Totals],[LIABILITIES]]:B5041,B37,'TRIAL BALANCE'!G37:G5031)</f>
        <v>0</v>
      </c>
      <c r="F41" s="17">
        <f ca="1">SUMIF('TRIAL BALANCE'!B36:B5040,E41,'TRIAL BALANCE'!G36:G5030)</f>
        <v>0</v>
      </c>
      <c r="G41" s="13"/>
    </row>
    <row r="42" spans="3:7" x14ac:dyDescent="0.25">
      <c r="C42" s="17">
        <f ca="1">SUMIF(Table4[[#Totals],[LIABILITIES]]:B5042,B38,'TRIAL BALANCE'!G38:G5032)</f>
        <v>0</v>
      </c>
      <c r="F42" s="17">
        <f ca="1">SUMIF('TRIAL BALANCE'!B37:B5041,E42,'TRIAL BALANCE'!G37:G5031)</f>
        <v>0</v>
      </c>
      <c r="G42" s="13"/>
    </row>
    <row r="43" spans="3:7" x14ac:dyDescent="0.25">
      <c r="C43" s="17">
        <f ca="1">SUMIF(Table4[[#Totals],[LIABILITIES]]:B5043,B39,'TRIAL BALANCE'!G39:G5033)</f>
        <v>0</v>
      </c>
      <c r="F43" s="17">
        <f ca="1">SUMIF('TRIAL BALANCE'!B38:B5042,E43,'TRIAL BALANCE'!G38:G5032)</f>
        <v>0</v>
      </c>
      <c r="G43" s="13"/>
    </row>
    <row r="44" spans="3:7" x14ac:dyDescent="0.25">
      <c r="C44" s="17">
        <f ca="1">SUMIF(Table4[[#Totals],[LIABILITIES]]:B5044,B40,'TRIAL BALANCE'!G40:G5034)</f>
        <v>0</v>
      </c>
      <c r="F44" s="17">
        <f ca="1">SUMIF('TRIAL BALANCE'!B39:B5043,E44,'TRIAL BALANCE'!G39:G5033)</f>
        <v>0</v>
      </c>
      <c r="G44" s="13"/>
    </row>
    <row r="45" spans="3:7" x14ac:dyDescent="0.25">
      <c r="C45" s="17">
        <f ca="1">SUMIF(Table4[[#Totals],[LIABILITIES]]:B5045,B41,'TRIAL BALANCE'!G41:G5035)</f>
        <v>0</v>
      </c>
      <c r="F45" s="17">
        <f ca="1">SUMIF('TRIAL BALANCE'!B40:B5044,E45,'TRIAL BALANCE'!G40:G5034)</f>
        <v>0</v>
      </c>
      <c r="G45" s="13"/>
    </row>
    <row r="46" spans="3:7" x14ac:dyDescent="0.25">
      <c r="C46" s="17">
        <f ca="1">SUMIF(Table4[[#Totals],[LIABILITIES]]:B5046,B42,'TRIAL BALANCE'!G42:G5036)</f>
        <v>0</v>
      </c>
      <c r="F46" s="17">
        <f ca="1">SUMIF('TRIAL BALANCE'!B41:B5045,E46,'TRIAL BALANCE'!G41:G5035)</f>
        <v>0</v>
      </c>
      <c r="G46" s="13"/>
    </row>
    <row r="47" spans="3:7" x14ac:dyDescent="0.25">
      <c r="C47" s="17">
        <f ca="1">SUMIF(Table4[[#Totals],[LIABILITIES]]:B5047,B43,'TRIAL BALANCE'!G43:G5037)</f>
        <v>0</v>
      </c>
      <c r="F47" s="17">
        <f ca="1">SUMIF('TRIAL BALANCE'!B42:B5046,E47,'TRIAL BALANCE'!G42:G5036)</f>
        <v>0</v>
      </c>
      <c r="G47" s="13"/>
    </row>
    <row r="48" spans="3:7" x14ac:dyDescent="0.25">
      <c r="C48" s="17">
        <f ca="1">SUMIF(Table4[[#Totals],[LIABILITIES]]:B5048,B44,'TRIAL BALANCE'!G44:G5038)</f>
        <v>0</v>
      </c>
      <c r="F48" s="17">
        <f ca="1">SUMIF('TRIAL BALANCE'!B43:B5047,E48,'TRIAL BALANCE'!G43:G5037)</f>
        <v>0</v>
      </c>
      <c r="G48" s="13"/>
    </row>
    <row r="49" spans="3:7" x14ac:dyDescent="0.25">
      <c r="C49" s="17">
        <f ca="1">SUMIF(Table4[[#Totals],[LIABILITIES]]:B5049,B45,'TRIAL BALANCE'!G45:G5039)</f>
        <v>0</v>
      </c>
      <c r="F49" s="17">
        <f ca="1">SUMIF('TRIAL BALANCE'!B44:B5048,E49,'TRIAL BALANCE'!G44:G5038)</f>
        <v>0</v>
      </c>
      <c r="G49" s="13"/>
    </row>
    <row r="50" spans="3:7" x14ac:dyDescent="0.25">
      <c r="C50" s="17"/>
      <c r="F50" s="17"/>
      <c r="G50" s="13"/>
    </row>
    <row r="51" spans="3:7" x14ac:dyDescent="0.25">
      <c r="C51" s="17"/>
      <c r="F51" s="17"/>
      <c r="G51" s="13"/>
    </row>
    <row r="52" spans="3:7" x14ac:dyDescent="0.25">
      <c r="C52" s="17"/>
      <c r="F52" s="17"/>
      <c r="G52" s="13"/>
    </row>
    <row r="53" spans="3:7" x14ac:dyDescent="0.25">
      <c r="C53" s="17"/>
      <c r="F53" s="17"/>
      <c r="G53" s="13"/>
    </row>
    <row r="54" spans="3:7" x14ac:dyDescent="0.25">
      <c r="C54" s="17"/>
      <c r="F54" s="17"/>
      <c r="G54" s="13"/>
    </row>
    <row r="55" spans="3:7" x14ac:dyDescent="0.25">
      <c r="C55" s="17"/>
      <c r="F55" s="17"/>
      <c r="G55" s="13"/>
    </row>
    <row r="56" spans="3:7" x14ac:dyDescent="0.25">
      <c r="C56" s="17"/>
      <c r="F56" s="17"/>
      <c r="G56" s="13"/>
    </row>
    <row r="57" spans="3:7" x14ac:dyDescent="0.25">
      <c r="C57" s="17"/>
      <c r="F57" s="17"/>
      <c r="G57" s="13"/>
    </row>
    <row r="58" spans="3:7" x14ac:dyDescent="0.25">
      <c r="C58" s="17"/>
      <c r="F58" s="17"/>
      <c r="G58" s="13"/>
    </row>
    <row r="59" spans="3:7" x14ac:dyDescent="0.25">
      <c r="C59" s="17"/>
      <c r="F59" s="17"/>
      <c r="G59" s="13"/>
    </row>
    <row r="60" spans="3:7" x14ac:dyDescent="0.25">
      <c r="C60" s="17"/>
      <c r="F60" s="17"/>
      <c r="G60" s="13"/>
    </row>
    <row r="61" spans="3:7" x14ac:dyDescent="0.25">
      <c r="C61" s="17"/>
      <c r="F61" s="17"/>
      <c r="G61" s="13"/>
    </row>
    <row r="62" spans="3:7" x14ac:dyDescent="0.25">
      <c r="C62" s="17"/>
      <c r="F62" s="17"/>
      <c r="G62" s="13"/>
    </row>
    <row r="63" spans="3:7" x14ac:dyDescent="0.25">
      <c r="C63" s="17"/>
      <c r="F63" s="17"/>
      <c r="G63" s="13"/>
    </row>
    <row r="64" spans="3:7" x14ac:dyDescent="0.25">
      <c r="C64" s="17"/>
      <c r="F64" s="17"/>
      <c r="G64" s="13"/>
    </row>
    <row r="65" spans="3:7" x14ac:dyDescent="0.25">
      <c r="C65" s="17"/>
      <c r="F65" s="17"/>
      <c r="G65" s="13"/>
    </row>
    <row r="66" spans="3:7" x14ac:dyDescent="0.25">
      <c r="C66" s="17"/>
      <c r="F66" s="17"/>
      <c r="G66" s="13"/>
    </row>
    <row r="67" spans="3:7" x14ac:dyDescent="0.25">
      <c r="C67" s="17"/>
      <c r="F67" s="17"/>
      <c r="G67" s="13"/>
    </row>
    <row r="68" spans="3:7" x14ac:dyDescent="0.25">
      <c r="C68" s="17"/>
      <c r="F68" s="17"/>
      <c r="G68" s="13"/>
    </row>
    <row r="69" spans="3:7" x14ac:dyDescent="0.25">
      <c r="C69" s="17"/>
      <c r="F69" s="17"/>
      <c r="G69" s="13"/>
    </row>
    <row r="70" spans="3:7" x14ac:dyDescent="0.25">
      <c r="C70" s="17"/>
      <c r="F70" s="17"/>
      <c r="G70" s="13"/>
    </row>
    <row r="71" spans="3:7" x14ac:dyDescent="0.25">
      <c r="C71" s="17"/>
      <c r="F71" s="17"/>
      <c r="G71" s="13"/>
    </row>
    <row r="72" spans="3:7" x14ac:dyDescent="0.25">
      <c r="C72" s="17"/>
      <c r="F72" s="17"/>
      <c r="G72" s="13"/>
    </row>
    <row r="73" spans="3:7" x14ac:dyDescent="0.25">
      <c r="C73" s="17"/>
      <c r="F73" s="17"/>
      <c r="G73" s="13"/>
    </row>
    <row r="74" spans="3:7" x14ac:dyDescent="0.25">
      <c r="C74" s="17"/>
      <c r="F74" s="17"/>
      <c r="G74" s="13"/>
    </row>
    <row r="75" spans="3:7" x14ac:dyDescent="0.25">
      <c r="C75" s="17"/>
      <c r="F75" s="17"/>
      <c r="G75" s="13"/>
    </row>
    <row r="76" spans="3:7" x14ac:dyDescent="0.25">
      <c r="C76" s="17"/>
      <c r="F76" s="17"/>
      <c r="G76" s="13"/>
    </row>
    <row r="77" spans="3:7" x14ac:dyDescent="0.25">
      <c r="C77" s="17"/>
      <c r="F77" s="17"/>
      <c r="G77" s="13"/>
    </row>
    <row r="78" spans="3:7" x14ac:dyDescent="0.25">
      <c r="C78" s="17"/>
      <c r="F78" s="17"/>
      <c r="G78" s="13"/>
    </row>
    <row r="79" spans="3:7" x14ac:dyDescent="0.25">
      <c r="C79" s="17"/>
      <c r="F79" s="17"/>
      <c r="G79" s="13"/>
    </row>
    <row r="80" spans="3:7" x14ac:dyDescent="0.25">
      <c r="C80" s="17"/>
      <c r="F80" s="17"/>
      <c r="G80" s="13"/>
    </row>
    <row r="81" spans="3:7" x14ac:dyDescent="0.25">
      <c r="C81" s="17"/>
      <c r="F81" s="17"/>
      <c r="G81" s="13"/>
    </row>
    <row r="82" spans="3:7" x14ac:dyDescent="0.25">
      <c r="C82" s="17"/>
      <c r="F82" s="17"/>
      <c r="G82" s="13"/>
    </row>
    <row r="83" spans="3:7" x14ac:dyDescent="0.25">
      <c r="C83" s="17"/>
      <c r="F83" s="17"/>
      <c r="G83" s="13"/>
    </row>
  </sheetData>
  <mergeCells count="2">
    <mergeCell ref="C4:E4"/>
    <mergeCell ref="B2:G3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95DEAE-F04C-4BEC-848B-EE3586DA7C2A}">
          <x14:formula1>
            <xm:f>'TRIAL BALANCE'!$B$6:$B$117</xm:f>
          </x14:formula1>
          <xm:sqref>E11:E82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JOURNAL</vt:lpstr>
      <vt:lpstr>TRIAL BALANCE</vt:lpstr>
      <vt:lpstr>PROFIT AND LOSS</vt:lpstr>
      <vt:lpstr>BALANCE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Game Game</dc:creator>
  <cp:lastModifiedBy>The Game Game</cp:lastModifiedBy>
  <dcterms:created xsi:type="dcterms:W3CDTF">2021-03-23T01:26:34Z</dcterms:created>
  <dcterms:modified xsi:type="dcterms:W3CDTF">2021-03-25T14:11:23Z</dcterms:modified>
</cp:coreProperties>
</file>